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5e786b797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엔트로피" sheetId="1" r:id="R6456ccd287364280"/>
    <x:sheet xmlns:r="http://schemas.openxmlformats.org/officeDocument/2006/relationships" name="AHP" sheetId="2" r:id="R5e024b0e99434fc4"/>
    <x:sheet xmlns:r="http://schemas.openxmlformats.org/officeDocument/2006/relationships" name="최종 가중치" sheetId="3" r:id="R238740739a26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%"/>
  </x:numFmts>
  <x:fonts count="12">
    <x:font>
      <x:sz val="11"/>
      <x:name val="Carlito"/>
    </x:font>
    <x:font>
      <x:b/>
      <x:sz val="16"/>
      <x:color rgb="FFFFFFFF"/>
      <x:name val="Carlito"/>
    </x:font>
    <x:font>
      <x:sz val="9"/>
      <x:color rgb="FF1F2937"/>
      <x:name val="Carlito"/>
    </x:font>
    <x:font>
      <x:b/>
      <x:sz val="9"/>
      <x:color rgb="FF17365D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Arial"/>
    </x:font>
    <x:font>
      <x:sz val="9"/>
      <x:color rgb="FF1F2937"/>
      <x:name val="Arial"/>
    </x:font>
    <x:font>
      <x:sz val="11"/>
      <x:name val="Arial"/>
    </x:font>
    <x:font>
      <x:b/>
      <x:sz val="9"/>
      <x:color rgb="FF17365D"/>
      <x:name val="Arial"/>
    </x:font>
    <x:font>
      <x:b/>
      <x:sz val="9"/>
      <x:color rgb="FFFFFFFF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0F6B78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9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8EA9BB"/>
      </x:left>
      <x:right style="thin">
        <x:color rgb="FF8EA9BB"/>
      </x:right>
      <x:top style="thin">
        <x:color rgb="FF8EA9BB"/>
      </x:top>
      <x:bottom style="thin">
        <x:color rgb="FF8EA9BB"/>
      </x:bottom>
    </x:border>
    <x:border>
      <x:bottom style="thin">
        <x:color rgb="FFE7EDF4"/>
      </x:bottom>
    </x:border>
    <x:border>
      <x:top style="thin">
        <x:color rgb="FFE7EDF4"/>
      </x:top>
      <x:bottom style="thin">
        <x:color rgb="FFE7EDF4"/>
      </x:bottom>
    </x:border>
    <x:border>
      <x:bottom style="double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5" xfId="0" applyNumberFormat="1" applyFont="1" applyFill="1" applyBorder="1"/>
    <x:xf numFmtId="200" fontId="3" fillId="6" borderId="5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201" fontId="2" fillId="0" borderId="6" xfId="0" applyNumberFormat="1" applyFont="1" applyFill="1" applyBorder="1"/>
    <x:xf numFmtId="201" fontId="2" fillId="0" borderId="7" xfId="0" applyNumberFormat="1" applyFont="1" applyFill="1" applyBorder="1"/>
    <x:xf numFmtId="201" fontId="2" fillId="0" borderId="8" xfId="0" applyNumberFormat="1" applyFont="1" applyFill="1" applyBorder="1"/>
    <x:xf numFmtId="200" fontId="2" fillId="0" borderId="6" xfId="0" applyNumberFormat="1" applyFont="1" applyFill="1" applyBorder="1"/>
    <x:xf numFmtId="200" fontId="2" fillId="0" borderId="7" xfId="0" applyNumberFormat="1" applyFont="1" applyFill="1" applyBorder="1"/>
    <x:xf numFmtId="200" fontId="2" fillId="0" borderId="8" xfId="0" applyNumberFormat="1" applyFont="1" applyFill="1" applyBorder="1"/>
    <x:xf numFmtId="201" fontId="3" fillId="6" borderId="5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6" xfId="0" applyNumberFormat="1" applyFont="1" applyFill="1" applyBorder="1"/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6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200" fontId="2" fillId="7" borderId="6" xfId="0" applyNumberFormat="1" applyFont="1" applyFill="1" applyBorder="1" applyAlignment="1">
      <x:alignment wrapText="1"/>
    </x:xf>
    <x:xf numFmtId="200" fontId="2" fillId="7" borderId="7" xfId="0" applyNumberFormat="1" applyFont="1" applyFill="1" applyBorder="1" applyAlignment="1">
      <x:alignment wrapText="1"/>
    </x:xf>
    <x:xf numFmtId="200" fontId="2" fillId="7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200" fontId="3" fillId="6" borderId="5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201" fontId="2" fillId="0" borderId="7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3" fillId="6" borderId="5" xfId="0" applyNumberFormat="1" applyFont="1" applyFill="1" applyBorder="1" applyAlignment="1">
      <x:alignment vertical="center"/>
    </x:xf>
    <x:xf numFmtId="0" fontId="2" fillId="7" borderId="6" xfId="0" applyNumberFormat="1" applyFont="1" applyFill="1" applyBorder="1" applyAlignment="1">
      <x:alignment vertical="center" wrapText="1"/>
    </x:xf>
    <x:xf numFmtId="200" fontId="2" fillId="7" borderId="6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/>
    </x:xf>
    <x:xf numFmtId="0" fontId="2" fillId="7" borderId="7" xfId="0" applyNumberFormat="1" applyFont="1" applyFill="1" applyBorder="1" applyAlignment="1">
      <x:alignment vertical="center" wrapText="1"/>
    </x:xf>
    <x:xf numFmtId="200" fontId="2" fillId="7" borderId="7" xfId="0" applyNumberFormat="1" applyFont="1" applyFill="1" applyBorder="1" applyAlignment="1">
      <x:alignment vertical="center" wrapText="1"/>
    </x:xf>
    <x:xf numFmtId="0" fontId="2" fillId="7" borderId="8" xfId="0" applyNumberFormat="1" applyFont="1" applyFill="1" applyBorder="1" applyAlignment="1">
      <x:alignment vertical="center" wrapText="1"/>
    </x:xf>
    <x:xf numFmtId="200" fontId="2" fillId="7" borderId="8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200" fontId="7" fillId="4" borderId="1" xfId="0" applyNumberFormat="1" applyFont="1" applyFill="1" applyBorder="1" applyAlignment="1">
      <x:alignment vertical="center"/>
    </x:xf>
    <x:xf numFmtId="200" fontId="9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10" fillId="5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/>
    </x:xf>
    <x:xf numFmtId="0" fontId="7" fillId="0" borderId="3" xfId="0" applyNumberFormat="1" applyFont="1" applyFill="1" applyBorder="1" applyAlignment="1">
      <x:alignment vertical="center"/>
    </x:xf>
    <x:xf numFmtId="200" fontId="7" fillId="0" borderId="3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/>
    </x:xf>
    <x:xf numFmtId="200" fontId="9" fillId="6" borderId="5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0" fillId="5" borderId="2" xfId="0" applyNumberFormat="1" applyFont="1" applyFill="1" applyBorder="1" applyAlignment="1">
      <x:alignment horizontal="center" vertical="center"/>
    </x:xf>
    <x:xf numFmtId="0" fontId="7" fillId="0" borderId="6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/>
    </x:xf>
    <x:xf numFmtId="200" fontId="7" fillId="0" borderId="7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/>
    </x:xf>
    <x:xf numFmtId="201" fontId="7" fillId="0" borderId="8" xfId="0" applyNumberFormat="1" applyFont="1" applyFill="1" applyBorder="1" applyAlignment="1">
      <x:alignment vertical="center"/>
    </x:xf>
    <x:xf numFmtId="201" fontId="9" fillId="6" borderId="5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 wrapText="1"/>
    </x:xf>
    <x:xf numFmtId="200" fontId="7" fillId="7" borderId="6" xfId="0" applyNumberFormat="1" applyFont="1" applyFill="1" applyBorder="1" applyAlignment="1">
      <x:alignment vertical="center" wrapText="1"/>
    </x:xf>
    <x:xf numFmtId="200" fontId="7" fillId="0" borderId="8" xfId="0" applyNumberFormat="1" applyFont="1" applyFill="1" applyBorder="1" applyAlignment="1">
      <x:alignment vertical="center"/>
    </x:xf>
    <x:xf numFmtId="0" fontId="7" fillId="7" borderId="7" xfId="0" applyNumberFormat="1" applyFont="1" applyFill="1" applyBorder="1" applyAlignment="1">
      <x:alignment vertical="center" wrapText="1"/>
    </x:xf>
    <x:xf numFmtId="20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200" fontId="7" fillId="7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2f0e279164683" /><Relationship Type="http://schemas.openxmlformats.org/officeDocument/2006/relationships/theme" Target="/xl/theme/theme1.xml" Id="R57d0b89dfcc4479b" /><Relationship Type="http://schemas.openxmlformats.org/officeDocument/2006/relationships/sharedStrings" Target="/xl/sharedStrings.xml" Id="R13bc57c04aec4379" /><Relationship Type="http://schemas.openxmlformats.org/officeDocument/2006/relationships/worksheet" Target="/xl/worksheets/sheet1.xml" Id="R6456ccd287364280" /><Relationship Type="http://schemas.openxmlformats.org/officeDocument/2006/relationships/worksheet" Target="/xl/worksheets/sheet2.xml" Id="R5e024b0e99434fc4" /><Relationship Type="http://schemas.openxmlformats.org/officeDocument/2006/relationships/worksheet" Target="/xl/worksheets/sheet3.xml" Id="R238740739a264184" /></Relationships>
</file>

<file path=xl/tables/table1.xml><?xml version="1.0" encoding="utf-8"?>
<x:table xmlns:x="http://schemas.openxmlformats.org/spreadsheetml/2006/main" id="1" name="EntropyWeights" displayName="EntropyWeights" ref="A6:O34" headerRowCount="1" totalsRowCount="0" totalsRowShown="0">
  <x:tableColumns count="15">
    <x:tableColumn id="1" name="번호"/>
    <x:tableColumn id="2" name="대영역"/>
    <x:tableColumn id="3" name="세부영역"/>
    <x:tableColumn id="4" name="지표"/>
    <x:tableColumn id="5" name="표기"/>
    <x:tableColumn id="6" name="방향"/>
    <x:tableColumn id="7" name="처리"/>
    <x:tableColumn id="8" name="원문 가중치"/>
    <x:tableColumn id="9" name="원문 세부영역 합"/>
    <x:tableColumn id="10" name="삭제 가중치"/>
    <x:tableColumn id="11" name="잔존 합"/>
    <x:tableColumn id="12" name="세부영역 재배분 후"/>
    <x:tableColumn id="13" name="최종 조정 가중치"/>
    <x:tableColumn id="14" name="세부영역 내부 비중"/>
    <x:tableColumn id="15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hpWeights" displayName="AhpWeights" ref="A6:O34" headerRowCount="1" totalsRowCount="0" totalsRowShown="0">
  <x:tableColumns count="15">
    <x:tableColumn id="1" name="번호"/>
    <x:tableColumn id="2" name="대영역"/>
    <x:tableColumn id="3" name="세부영역"/>
    <x:tableColumn id="4" name="지표"/>
    <x:tableColumn id="5" name="표기"/>
    <x:tableColumn id="6" name="방향"/>
    <x:tableColumn id="7" name="처리"/>
    <x:tableColumn id="8" name="원문 가중치"/>
    <x:tableColumn id="9" name="원문 세부영역 합"/>
    <x:tableColumn id="10" name="삭제 가중치"/>
    <x:tableColumn id="11" name="잔존 합"/>
    <x:tableColumn id="12" name="세부영역 재배분 후"/>
    <x:tableColumn id="13" name="최종 조정 가중치"/>
    <x:tableColumn id="14" name="세부영역 내부 비중"/>
    <x:tableColumn id="15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Weights" displayName="FinalWeights" ref="A6:O34" headerRowCount="1" totalsRowCount="0" totalsRowShown="0">
  <x:tableColumns count="15">
    <x:tableColumn id="1" name="번호"/>
    <x:tableColumn id="2" name="대영역"/>
    <x:tableColumn id="3" name="세부영역"/>
    <x:tableColumn id="4" name="지표"/>
    <x:tableColumn id="5" name="표기"/>
    <x:tableColumn id="6" name="방향"/>
    <x:tableColumn id="7" name="처리"/>
    <x:tableColumn id="8" name="원문 가중치"/>
    <x:tableColumn id="9" name="원문 세부영역 합"/>
    <x:tableColumn id="10" name="삭제 가중치"/>
    <x:tableColumn id="11" name="잔존 합"/>
    <x:tableColumn id="12" name="세부영역 재배분 후"/>
    <x:tableColumn id="13" name="최종 조정 가중치"/>
    <x:tableColumn id="14" name="세부영역 내부 비중"/>
    <x:tableColumn id="15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93fe2cd2434b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cb0bee32a24c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4373268ce347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0" hidden="0" customWidth="1"/>
    <x:col min="4" max="4" width="32" hidden="0" customWidth="1"/>
    <x:col min="5" max="5" width="10" hidden="0" customWidth="1"/>
    <x:col min="6" max="6" width="8" hidden="0" customWidth="1"/>
    <x:col min="7" max="7" width="10" hidden="0" customWidth="1"/>
    <x:col min="8" max="8" width="15" hidden="0" customWidth="1"/>
    <x:col min="9" max="9" width="17" hidden="0" customWidth="1"/>
    <x:col min="10" max="10" width="14" hidden="0" customWidth="1"/>
    <x:col min="11" max="11" width="14" hidden="0" customWidth="1"/>
    <x:col min="12" max="12" width="17" hidden="0" customWidth="1"/>
    <x:col min="13" max="13" width="17" hidden="0" customWidth="1"/>
    <x:col min="14" max="14" width="18" hidden="0" customWidth="1"/>
    <x:col min="15" max="15" width="40" hidden="0" customWidth="1"/>
  </x:cols>
  <x:sheetData>
    <x:row r="1" ht="30" customHeight="1">
      <x:c r="A1" s="84" t="str">
        <x:v>엔트로피 기준 조정 가중치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</x:row>
    <x:row r="2" ht="24" customHeight="1">
      <x:c r="A2" s="85" t="str">
        <x:v>엔트로피 가중치는 지역·연도별 데이터의 변별력과 정보량이 큰 지표에 더 큰 비중을 부여합니다.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6"/>
      <x:c r="L2" s="87" t="str">
        <x:v>원문 표시값 합</x:v>
      </x:c>
      <x:c r="M2" s="88" t="n">
        <x:f>SUM(H7:H34)+SUM(J49:J51)</x:f>
        <x:v>1.0020000000000004</x:v>
      </x:c>
      <x:c r="N2" s="89" t="str">
        <x:v>최종 조정 합</x:v>
      </x:c>
      <x:c r="O2" s="88" t="n">
        <x:f>SUM(M7:M34)</x:f>
        <x:v>0.9999999999999996</x:v>
      </x:c>
    </x:row>
    <x:row r="3" ht="24" customHeight="1">
      <x:c r="A3" s="85" t="str">
        <x:v>조정 규칙: 삭제 3개 지표의 가중치를 같은 세부영역의 잔존지표에 원래 비율대로 재배분한 뒤, 전체 합이 1이 되도록 정규화합니다.</x:v>
      </x:c>
      <x:c r="B3" s="85"/>
      <x:c r="C3" s="85"/>
      <x:c r="D3" s="85"/>
      <x:c r="E3" s="85"/>
      <x:c r="F3" s="85"/>
      <x:c r="G3" s="85"/>
      <x:c r="H3" s="85"/>
      <x:c r="I3" s="85"/>
      <x:c r="J3" s="85"/>
      <x:c r="K3" s="86"/>
      <x:c r="L3" s="87" t="str">
        <x:v>잔존 지표 수</x:v>
      </x:c>
      <x:c r="M3" s="90" t="n">
        <x:f>COUNTA(D7:D34)</x:f>
        <x:v>28</x:v>
      </x:c>
      <x:c r="N3" s="91" t="str">
        <x:v>삭제 지표 수</x:v>
      </x:c>
      <x:c r="O3" s="90" t="n">
        <x:f>COUNTA(I49:I51)</x:f>
        <x:v>3</x:v>
      </x:c>
    </x:row>
    <x:row r="4" ht="24" customHeight="1">
      <x:c r="A4" s="85" t="str">
        <x:v>출처: 제주여성가족연구원 「제주지역 출산환경지수 개발 연구」 p.83 &lt;표 Ⅳ-3&gt; | https://drive.google.com/file/d/1y2hWFmiBwIGSJTUm4PVYTvpBkwqPtv1V/view?usp=drivesdk</x:v>
      </x:c>
      <x:c r="B4" s="85"/>
      <x:c r="C4" s="85"/>
      <x:c r="D4" s="85"/>
      <x:c r="E4" s="85"/>
      <x:c r="F4" s="85"/>
      <x:c r="G4" s="85"/>
      <x:c r="H4" s="85"/>
      <x:c r="I4" s="85"/>
      <x:c r="J4" s="85"/>
      <x:c r="K4" s="86"/>
      <x:c r="L4" s="87" t="str">
        <x:v>대체 지표 수</x:v>
      </x:c>
      <x:c r="M4" s="90" t="n">
        <x:f>COUNTIF(G7:G34,"대체")</x:f>
        <x:v>2</x:v>
      </x:c>
      <x:c r="N4" s="91" t="str">
        <x:v>검산(소수 8자리)</x:v>
      </x:c>
      <x:c r="O4" s="90" t="str">
        <x:f>IF(AND(ROUND(O2,8)=1,ROUND(C51,8)=1,ROUND(I44,8)=1),"통과","확인 필요")</x:f>
        <x:v>통과</x:v>
      </x:c>
    </x:row>
    <x:row r="5">
      <x:c r="A5" s="86"/>
      <x:c r="B5" s="86"/>
      <x:c r="C5" s="86"/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</x:row>
    <x:row r="6" ht="34" customHeight="1">
      <x:c r="A6" s="92" t="str">
        <x:v>번호</x:v>
      </x:c>
      <x:c r="B6" s="92" t="str">
        <x:v>대영역</x:v>
      </x:c>
      <x:c r="C6" s="92" t="str">
        <x:v>세부영역</x:v>
      </x:c>
      <x:c r="D6" s="92" t="str">
        <x:v>지표</x:v>
      </x:c>
      <x:c r="E6" s="92" t="str">
        <x:v>표기</x:v>
      </x:c>
      <x:c r="F6" s="92" t="str">
        <x:v>방향</x:v>
      </x:c>
      <x:c r="G6" s="92" t="str">
        <x:v>처리</x:v>
      </x:c>
      <x:c r="H6" s="92" t="str">
        <x:v>원문 가중치</x:v>
      </x:c>
      <x:c r="I6" s="92" t="str">
        <x:v>원문 세부영역 합</x:v>
      </x:c>
      <x:c r="J6" s="92" t="str">
        <x:v>삭제 가중치</x:v>
      </x:c>
      <x:c r="K6" s="92" t="str">
        <x:v>잔존 합</x:v>
      </x:c>
      <x:c r="L6" s="92" t="str">
        <x:v>세부영역 재배분 후</x:v>
      </x:c>
      <x:c r="M6" s="92" t="str">
        <x:v>최종 조정 가중치</x:v>
      </x:c>
      <x:c r="N6" s="92" t="str">
        <x:v>세부영역 내부 비중</x:v>
      </x:c>
      <x:c r="O6" s="92" t="str">
        <x:v>비고</x:v>
      </x:c>
    </x:row>
    <x:row r="7" ht="21" customHeight="1">
      <x:c r="A7" s="93" t="n">
        <x:v>1</x:v>
      </x:c>
      <x:c r="B7" s="94" t="str">
        <x:v>경제·고용·주거</x:v>
      </x:c>
      <x:c r="C7" s="94" t="str">
        <x:v>고용여건</x:v>
      </x:c>
      <x:c r="D7" s="94" t="str">
        <x:v>청년 고용률</x:v>
      </x:c>
      <x:c r="E7" s="93" t="str">
        <x:v>YER</x:v>
      </x:c>
      <x:c r="F7" s="93" t="str">
        <x:v>+</x:v>
      </x:c>
      <x:c r="G7" s="93" t="str">
        <x:v>유지</x:v>
      </x:c>
      <x:c r="H7" s="95" t="n">
        <x:v>0.038</x:v>
      </x:c>
      <x:c r="I7" s="95" t="n">
        <x:f>SUMIF($C$7:$C$34,C7,$H$7:$H$34)+SUMIF($H$49:$H$51,C7,$J$49:$J$51)</x:f>
        <x:v>0.092</x:v>
      </x:c>
      <x:c r="J7" s="95" t="n">
        <x:f>SUMIF($H$49:$H$51,C7,$J$49:$J$51)</x:f>
        <x:v>0</x:v>
      </x:c>
      <x:c r="K7" s="95" t="n">
        <x:f>I7-J7</x:f>
        <x:v>0.092</x:v>
      </x:c>
      <x:c r="L7" s="95" t="n">
        <x:f>IF(K7=0,0,H7*I7/K7)</x:f>
        <x:v>0.038</x:v>
      </x:c>
      <x:c r="M7" s="95" t="n">
        <x:f>IF($M$2=0,0,L7/$M$2)</x:f>
        <x:v>0.03792415169660677</x:v>
      </x:c>
      <x:c r="N7" s="96" t="n">
        <x:f>IF(SUMIF($C$7:$C$34,C7,$M$7:$M$34)=0,0,M7/SUMIF($C$7:$C$34,C7,$M$7:$M$34))</x:f>
        <x:v>0.41304347826086957</x:v>
      </x:c>
      <x:c r="O7" s="97" t="str"/>
    </x:row>
    <x:row r="8" ht="21" customHeight="1">
      <x:c r="A8" s="98" t="n">
        <x:v>2</x:v>
      </x:c>
      <x:c r="B8" s="99" t="str">
        <x:v>경제·고용·주거</x:v>
      </x:c>
      <x:c r="C8" s="99" t="str">
        <x:v>고용여건</x:v>
      </x:c>
      <x:c r="D8" s="99" t="str">
        <x:v>청년층 정규직 근로자 비율</x:v>
      </x:c>
      <x:c r="E8" s="98" t="str">
        <x:v>YFRR</x:v>
      </x:c>
      <x:c r="F8" s="98" t="str">
        <x:v>+</x:v>
      </x:c>
      <x:c r="G8" s="98" t="str">
        <x:v>유지</x:v>
      </x:c>
      <x:c r="H8" s="100" t="n">
        <x:v>0.021</x:v>
      </x:c>
      <x:c r="I8" s="100" t="n">
        <x:f>SUMIF($C$7:$C$34,C8,$H$7:$H$34)+SUMIF($H$49:$H$51,C8,$J$49:$J$51)</x:f>
        <x:v>0.092</x:v>
      </x:c>
      <x:c r="J8" s="100" t="n">
        <x:f>SUMIF($H$49:$H$51,C8,$J$49:$J$51)</x:f>
        <x:v>0</x:v>
      </x:c>
      <x:c r="K8" s="100" t="n">
        <x:f>I8-J8</x:f>
        <x:v>0.092</x:v>
      </x:c>
      <x:c r="L8" s="100" t="n">
        <x:f>IF(K8=0,0,H8*I8/K8)</x:f>
        <x:v>0.021</x:v>
      </x:c>
      <x:c r="M8" s="100" t="n">
        <x:f>IF($M$2=0,0,L8/$M$2)</x:f>
        <x:v>0.02095808383233532</x:v>
      </x:c>
      <x:c r="N8" s="101" t="n">
        <x:f>IF(SUMIF($C$7:$C$34,C8,$M$7:$M$34)=0,0,M8/SUMIF($C$7:$C$34,C8,$M$7:$M$34))</x:f>
        <x:v>0.2282608695652174</x:v>
      </x:c>
      <x:c r="O8" s="102" t="str"/>
    </x:row>
    <x:row r="9" ht="21" customHeight="1">
      <x:c r="A9" s="98" t="n">
        <x:v>3</x:v>
      </x:c>
      <x:c r="B9" s="99" t="str">
        <x:v>경제·고용·주거</x:v>
      </x:c>
      <x:c r="C9" s="99" t="str">
        <x:v>고용여건</x:v>
      </x:c>
      <x:c r="D9" s="99" t="str">
        <x:v>근로시간</x:v>
      </x:c>
      <x:c r="E9" s="98" t="str">
        <x:v>AWH</x:v>
      </x:c>
      <x:c r="F9" s="98" t="str">
        <x:v>-</x:v>
      </x:c>
      <x:c r="G9" s="98" t="str">
        <x:v>유지</x:v>
      </x:c>
      <x:c r="H9" s="100" t="n">
        <x:v>0.033</x:v>
      </x:c>
      <x:c r="I9" s="100" t="n">
        <x:f>SUMIF($C$7:$C$34,C9,$H$7:$H$34)+SUMIF($H$49:$H$51,C9,$J$49:$J$51)</x:f>
        <x:v>0.092</x:v>
      </x:c>
      <x:c r="J9" s="100" t="n">
        <x:f>SUMIF($H$49:$H$51,C9,$J$49:$J$51)</x:f>
        <x:v>0</x:v>
      </x:c>
      <x:c r="K9" s="100" t="n">
        <x:f>I9-J9</x:f>
        <x:v>0.092</x:v>
      </x:c>
      <x:c r="L9" s="100" t="n">
        <x:f>IF(K9=0,0,H9*I9/K9)</x:f>
        <x:v>0.033</x:v>
      </x:c>
      <x:c r="M9" s="100" t="n">
        <x:f>IF($M$2=0,0,L9/$M$2)</x:f>
        <x:v>0.032934131736526935</x:v>
      </x:c>
      <x:c r="N9" s="101" t="n">
        <x:f>IF(SUMIF($C$7:$C$34,C9,$M$7:$M$34)=0,0,M9/SUMIF($C$7:$C$34,C9,$M$7:$M$34))</x:f>
        <x:v>0.3586956521739131</x:v>
      </x:c>
      <x:c r="O9" s="102" t="str">
        <x:v>값이 높을수록 불리: 정규화 후 방향 반전</x:v>
      </x:c>
    </x:row>
    <x:row r="10" ht="21" customHeight="1">
      <x:c r="A10" s="98" t="n">
        <x:v>4</x:v>
      </x:c>
      <x:c r="B10" s="99" t="str">
        <x:v>경제·고용·주거</x:v>
      </x:c>
      <x:c r="C10" s="99" t="str">
        <x:v>주거 안정성</x:v>
      </x:c>
      <x:c r="D10" s="99" t="str">
        <x:v>주택가격</x:v>
      </x:c>
      <x:c r="E10" s="98" t="str">
        <x:v>APH</x:v>
      </x:c>
      <x:c r="F10" s="98" t="str">
        <x:v>-</x:v>
      </x:c>
      <x:c r="G10" s="98" t="str">
        <x:v>유지</x:v>
      </x:c>
      <x:c r="H10" s="100" t="n">
        <x:v>0.026</x:v>
      </x:c>
      <x:c r="I10" s="100" t="n">
        <x:f>SUMIF($C$7:$C$34,C10,$H$7:$H$34)+SUMIF($H$49:$H$51,C10,$J$49:$J$51)</x:f>
        <x:v>0.059</x:v>
      </x:c>
      <x:c r="J10" s="100" t="n">
        <x:f>SUMIF($H$49:$H$51,C10,$J$49:$J$51)</x:f>
        <x:v>0</x:v>
      </x:c>
      <x:c r="K10" s="100" t="n">
        <x:f>I10-J10</x:f>
        <x:v>0.059</x:v>
      </x:c>
      <x:c r="L10" s="100" t="n">
        <x:f>IF(K10=0,0,H10*I10/K10)</x:f>
        <x:v>0.026</x:v>
      </x:c>
      <x:c r="M10" s="100" t="n">
        <x:f>IF($M$2=0,0,L10/$M$2)</x:f>
        <x:v>0.025948103792415158</x:v>
      </x:c>
      <x:c r="N10" s="101" t="n">
        <x:f>IF(SUMIF($C$7:$C$34,C10,$M$7:$M$34)=0,0,M10/SUMIF($C$7:$C$34,C10,$M$7:$M$34))</x:f>
        <x:v>0.4406779661016949</x:v>
      </x:c>
      <x:c r="O10" s="102" t="str">
        <x:v>값이 높을수록 불리: 정규화 후 방향 반전</x:v>
      </x:c>
    </x:row>
    <x:row r="11" ht="21" customHeight="1">
      <x:c r="A11" s="98" t="n">
        <x:v>5</x:v>
      </x:c>
      <x:c r="B11" s="99" t="str">
        <x:v>경제·고용·주거</x:v>
      </x:c>
      <x:c r="C11" s="99" t="str">
        <x:v>주거 안정성</x:v>
      </x:c>
      <x:c r="D11" s="99" t="str">
        <x:v>자가점유비율</x:v>
      </x:c>
      <x:c r="E11" s="98" t="str">
        <x:v>OOR</x:v>
      </x:c>
      <x:c r="F11" s="98" t="str">
        <x:v>+</x:v>
      </x:c>
      <x:c r="G11" s="98" t="str">
        <x:v>유지</x:v>
      </x:c>
      <x:c r="H11" s="100" t="n">
        <x:v>0.013</x:v>
      </x:c>
      <x:c r="I11" s="100" t="n">
        <x:f>SUMIF($C$7:$C$34,C11,$H$7:$H$34)+SUMIF($H$49:$H$51,C11,$J$49:$J$51)</x:f>
        <x:v>0.059</x:v>
      </x:c>
      <x:c r="J11" s="100" t="n">
        <x:f>SUMIF($H$49:$H$51,C11,$J$49:$J$51)</x:f>
        <x:v>0</x:v>
      </x:c>
      <x:c r="K11" s="100" t="n">
        <x:f>I11-J11</x:f>
        <x:v>0.059</x:v>
      </x:c>
      <x:c r="L11" s="100" t="n">
        <x:f>IF(K11=0,0,H11*I11/K11)</x:f>
        <x:v>0.013</x:v>
      </x:c>
      <x:c r="M11" s="100" t="n">
        <x:f>IF($M$2=0,0,L11/$M$2)</x:f>
        <x:v>0.012974051896207579</x:v>
      </x:c>
      <x:c r="N11" s="101" t="n">
        <x:f>IF(SUMIF($C$7:$C$34,C11,$M$7:$M$34)=0,0,M11/SUMIF($C$7:$C$34,C11,$M$7:$M$34))</x:f>
        <x:v>0.22033898305084745</x:v>
      </x:c>
      <x:c r="O11" s="102" t="str"/>
    </x:row>
    <x:row r="12" ht="21" customHeight="1">
      <x:c r="A12" s="98" t="n">
        <x:v>6</x:v>
      </x:c>
      <x:c r="B12" s="99" t="str">
        <x:v>경제·고용·주거</x:v>
      </x:c>
      <x:c r="C12" s="99" t="str">
        <x:v>주거 안정성</x:v>
      </x:c>
      <x:c r="D12" s="99" t="str">
        <x:v>주거비</x:v>
      </x:c>
      <x:c r="E12" s="98" t="str">
        <x:v>HCC</x:v>
      </x:c>
      <x:c r="F12" s="98" t="str">
        <x:v>-</x:v>
      </x:c>
      <x:c r="G12" s="98" t="str">
        <x:v>유지</x:v>
      </x:c>
      <x:c r="H12" s="100" t="n">
        <x:v>0.02</x:v>
      </x:c>
      <x:c r="I12" s="100" t="n">
        <x:f>SUMIF($C$7:$C$34,C12,$H$7:$H$34)+SUMIF($H$49:$H$51,C12,$J$49:$J$51)</x:f>
        <x:v>0.059</x:v>
      </x:c>
      <x:c r="J12" s="100" t="n">
        <x:f>SUMIF($H$49:$H$51,C12,$J$49:$J$51)</x:f>
        <x:v>0</x:v>
      </x:c>
      <x:c r="K12" s="100" t="n">
        <x:f>I12-J12</x:f>
        <x:v>0.059</x:v>
      </x:c>
      <x:c r="L12" s="100" t="n">
        <x:f>IF(K12=0,0,H12*I12/K12)</x:f>
        <x:v>0.02</x:v>
      </x:c>
      <x:c r="M12" s="100" t="n">
        <x:f>IF($M$2=0,0,L12/$M$2)</x:f>
        <x:v>0.019960079840319354</x:v>
      </x:c>
      <x:c r="N12" s="101" t="n">
        <x:f>IF(SUMIF($C$7:$C$34,C12,$M$7:$M$34)=0,0,M12/SUMIF($C$7:$C$34,C12,$M$7:$M$34))</x:f>
        <x:v>0.33898305084745767</x:v>
      </x:c>
      <x:c r="O12" s="102" t="str">
        <x:v>값이 높을수록 불리: 정규화 후 방향 반전</x:v>
      </x:c>
    </x:row>
    <x:row r="13" ht="21" customHeight="1">
      <x:c r="A13" s="98" t="n">
        <x:v>7</x:v>
      </x:c>
      <x:c r="B13" s="99" t="str">
        <x:v>경제·고용·주거</x:v>
      </x:c>
      <x:c r="C13" s="99" t="str">
        <x:v>경제적 여건</x:v>
      </x:c>
      <x:c r="D13" s="99" t="str">
        <x:v>소득 만족도</x:v>
      </x:c>
      <x:c r="E13" s="98" t="str">
        <x:v>ISS</x:v>
      </x:c>
      <x:c r="F13" s="98" t="str">
        <x:v>+</x:v>
      </x:c>
      <x:c r="G13" s="98" t="str">
        <x:v>유지</x:v>
      </x:c>
      <x:c r="H13" s="100" t="n">
        <x:v>0.034</x:v>
      </x:c>
      <x:c r="I13" s="100" t="n">
        <x:f>SUMIF($C$7:$C$34,C13,$H$7:$H$34)+SUMIF($H$49:$H$51,C13,$J$49:$J$51)</x:f>
        <x:v>0.08499999999999999</x:v>
      </x:c>
      <x:c r="J13" s="100" t="n">
        <x:f>SUMIF($H$49:$H$51,C13,$J$49:$J$51)</x:f>
        <x:v>0</x:v>
      </x:c>
      <x:c r="K13" s="100" t="n">
        <x:f>I13-J13</x:f>
        <x:v>0.08499999999999999</x:v>
      </x:c>
      <x:c r="L13" s="100" t="n">
        <x:f>IF(K13=0,0,H13*I13/K13)</x:f>
        <x:v>0.034</x:v>
      </x:c>
      <x:c r="M13" s="100" t="n">
        <x:f>IF($M$2=0,0,L13/$M$2)</x:f>
        <x:v>0.0339321357285429</x:v>
      </x:c>
      <x:c r="N13" s="101" t="n">
        <x:f>IF(SUMIF($C$7:$C$34,C13,$M$7:$M$34)=0,0,M13/SUMIF($C$7:$C$34,C13,$M$7:$M$34))</x:f>
        <x:v>0.4</x:v>
      </x:c>
      <x:c r="O13" s="102" t="str"/>
    </x:row>
    <x:row r="14" ht="21" customHeight="1">
      <x:c r="A14" s="98" t="n">
        <x:v>8</x:v>
      </x:c>
      <x:c r="B14" s="99" t="str">
        <x:v>경제·고용·주거</x:v>
      </x:c>
      <x:c r="C14" s="99" t="str">
        <x:v>경제적 여건</x:v>
      </x:c>
      <x:c r="D14" s="99" t="str">
        <x:v>소득 수준</x:v>
      </x:c>
      <x:c r="E14" s="98" t="str">
        <x:v>PINC</x:v>
      </x:c>
      <x:c r="F14" s="98" t="str">
        <x:v>+</x:v>
      </x:c>
      <x:c r="G14" s="98" t="str">
        <x:v>유지</x:v>
      </x:c>
      <x:c r="H14" s="100" t="n">
        <x:v>0.051</x:v>
      </x:c>
      <x:c r="I14" s="100" t="n">
        <x:f>SUMIF($C$7:$C$34,C14,$H$7:$H$34)+SUMIF($H$49:$H$51,C14,$J$49:$J$51)</x:f>
        <x:v>0.08499999999999999</x:v>
      </x:c>
      <x:c r="J14" s="100" t="n">
        <x:f>SUMIF($H$49:$H$51,C14,$J$49:$J$51)</x:f>
        <x:v>0</x:v>
      </x:c>
      <x:c r="K14" s="100" t="n">
        <x:f>I14-J14</x:f>
        <x:v>0.08499999999999999</x:v>
      </x:c>
      <x:c r="L14" s="100" t="n">
        <x:f>IF(K14=0,0,H14*I14/K14)</x:f>
        <x:v>0.051</x:v>
      </x:c>
      <x:c r="M14" s="100" t="n">
        <x:f>IF($M$2=0,0,L14/$M$2)</x:f>
        <x:v>0.05089820359281434</x:v>
      </x:c>
      <x:c r="N14" s="101" t="n">
        <x:f>IF(SUMIF($C$7:$C$34,C14,$M$7:$M$34)=0,0,M14/SUMIF($C$7:$C$34,C14,$M$7:$M$34))</x:f>
        <x:v>0.5999999999999999</x:v>
      </x:c>
      <x:c r="O14" s="102" t="str"/>
    </x:row>
    <x:row r="15" ht="21" customHeight="1">
      <x:c r="A15" s="98" t="n">
        <x:v>9</x:v>
      </x:c>
      <x:c r="B15" s="99" t="str">
        <x:v>가족·생활</x:v>
      </x:c>
      <x:c r="C15" s="99" t="str">
        <x:v>돌봄여건</x:v>
      </x:c>
      <x:c r="D15" s="99" t="str">
        <x:v>보육시설 보급률</x:v>
      </x:c>
      <x:c r="E15" s="98" t="str">
        <x:v>CFR</x:v>
      </x:c>
      <x:c r="F15" s="98" t="str">
        <x:v>+</x:v>
      </x:c>
      <x:c r="G15" s="98" t="str">
        <x:v>유지</x:v>
      </x:c>
      <x:c r="H15" s="100" t="n">
        <x:v>0.029</x:v>
      </x:c>
      <x:c r="I15" s="100" t="n">
        <x:f>SUMIF($C$7:$C$34,C15,$H$7:$H$34)+SUMIF($H$49:$H$51,C15,$J$49:$J$51)</x:f>
        <x:v>0.07500000000000001</x:v>
      </x:c>
      <x:c r="J15" s="100" t="n">
        <x:f>SUMIF($H$49:$H$51,C15,$J$49:$J$51)</x:f>
        <x:v>0</x:v>
      </x:c>
      <x:c r="K15" s="100" t="n">
        <x:f>I15-J15</x:f>
        <x:v>0.07500000000000001</x:v>
      </x:c>
      <x:c r="L15" s="100" t="n">
        <x:f>IF(K15=0,0,H15*I15/K15)</x:f>
        <x:v>0.028999999999999998</x:v>
      </x:c>
      <x:c r="M15" s="100" t="n">
        <x:f>IF($M$2=0,0,L15/$M$2)</x:f>
        <x:v>0.028942115768463058</x:v>
      </x:c>
      <x:c r="N15" s="101" t="n">
        <x:f>IF(SUMIF($C$7:$C$34,C15,$M$7:$M$34)=0,0,M15/SUMIF($C$7:$C$34,C15,$M$7:$M$34))</x:f>
        <x:v>0.38666666666666666</x:v>
      </x:c>
      <x:c r="O15" s="102" t="str"/>
    </x:row>
    <x:row r="16" ht="21" customHeight="1">
      <x:c r="A16" s="98" t="n">
        <x:v>10</x:v>
      </x:c>
      <x:c r="B16" s="99" t="str">
        <x:v>가족·생활</x:v>
      </x:c>
      <x:c r="C16" s="99" t="str">
        <x:v>돌봄여건</x:v>
      </x:c>
      <x:c r="D16" s="99" t="str">
        <x:v>방과후 돌봄시설 보급도</x:v>
      </x:c>
      <x:c r="E16" s="98" t="str">
        <x:v>ACSR</x:v>
      </x:c>
      <x:c r="F16" s="98" t="str">
        <x:v>+</x:v>
      </x:c>
      <x:c r="G16" s="98" t="str">
        <x:v>유지</x:v>
      </x:c>
      <x:c r="H16" s="100" t="n">
        <x:v>0.029</x:v>
      </x:c>
      <x:c r="I16" s="100" t="n">
        <x:f>SUMIF($C$7:$C$34,C16,$H$7:$H$34)+SUMIF($H$49:$H$51,C16,$J$49:$J$51)</x:f>
        <x:v>0.07500000000000001</x:v>
      </x:c>
      <x:c r="J16" s="100" t="n">
        <x:f>SUMIF($H$49:$H$51,C16,$J$49:$J$51)</x:f>
        <x:v>0</x:v>
      </x:c>
      <x:c r="K16" s="100" t="n">
        <x:f>I16-J16</x:f>
        <x:v>0.07500000000000001</x:v>
      </x:c>
      <x:c r="L16" s="100" t="n">
        <x:f>IF(K16=0,0,H16*I16/K16)</x:f>
        <x:v>0.028999999999999998</x:v>
      </x:c>
      <x:c r="M16" s="100" t="n">
        <x:f>IF($M$2=0,0,L16/$M$2)</x:f>
        <x:v>0.028942115768463058</x:v>
      </x:c>
      <x:c r="N16" s="101" t="n">
        <x:f>IF(SUMIF($C$7:$C$34,C16,$M$7:$M$34)=0,0,M16/SUMIF($C$7:$C$34,C16,$M$7:$M$34))</x:f>
        <x:v>0.38666666666666666</x:v>
      </x:c>
      <x:c r="O16" s="102" t="str"/>
    </x:row>
    <x:row r="17" ht="21" customHeight="1">
      <x:c r="A17" s="98" t="n">
        <x:v>11</x:v>
      </x:c>
      <x:c r="B17" s="99" t="str">
        <x:v>가족·생활</x:v>
      </x:c>
      <x:c r="C17" s="99" t="str">
        <x:v>돌봄여건</x:v>
      </x:c>
      <x:c r="D17" s="99" t="str">
        <x:v>사교육비 지출액</x:v>
      </x:c>
      <x:c r="E17" s="98" t="str">
        <x:v>PES</x:v>
      </x:c>
      <x:c r="F17" s="98" t="str">
        <x:v>-</x:v>
      </x:c>
      <x:c r="G17" s="98" t="str">
        <x:v>유지</x:v>
      </x:c>
      <x:c r="H17" s="100" t="n">
        <x:v>0.017</x:v>
      </x:c>
      <x:c r="I17" s="100" t="n">
        <x:f>SUMIF($C$7:$C$34,C17,$H$7:$H$34)+SUMIF($H$49:$H$51,C17,$J$49:$J$51)</x:f>
        <x:v>0.07500000000000001</x:v>
      </x:c>
      <x:c r="J17" s="100" t="n">
        <x:f>SUMIF($H$49:$H$51,C17,$J$49:$J$51)</x:f>
        <x:v>0</x:v>
      </x:c>
      <x:c r="K17" s="100" t="n">
        <x:f>I17-J17</x:f>
        <x:v>0.07500000000000001</x:v>
      </x:c>
      <x:c r="L17" s="100" t="n">
        <x:f>IF(K17=0,0,H17*I17/K17)</x:f>
        <x:v>0.017</x:v>
      </x:c>
      <x:c r="M17" s="100" t="n">
        <x:f>IF($M$2=0,0,L17/$M$2)</x:f>
        <x:v>0.01696606786427145</x:v>
      </x:c>
      <x:c r="N17" s="101" t="n">
        <x:f>IF(SUMIF($C$7:$C$34,C17,$M$7:$M$34)=0,0,M17/SUMIF($C$7:$C$34,C17,$M$7:$M$34))</x:f>
        <x:v>0.22666666666666668</x:v>
      </x:c>
      <x:c r="O17" s="102" t="str">
        <x:v>값이 높을수록 불리: 정규화 후 방향 반전</x:v>
      </x:c>
    </x:row>
    <x:row r="18" ht="21" customHeight="1">
      <x:c r="A18" s="98" t="n">
        <x:v>12</x:v>
      </x:c>
      <x:c r="B18" s="99" t="str">
        <x:v>가족·생활</x:v>
      </x:c>
      <x:c r="C18" s="99" t="str">
        <x:v>여가 인프라</x:v>
      </x:c>
      <x:c r="D18" s="99" t="str">
        <x:v>문화기반시설 보급도</x:v>
      </x:c>
      <x:c r="E18" s="98" t="str">
        <x:v>CIPR</x:v>
      </x:c>
      <x:c r="F18" s="98" t="str">
        <x:v>+</x:v>
      </x:c>
      <x:c r="G18" s="98" t="str">
        <x:v>유지</x:v>
      </x:c>
      <x:c r="H18" s="100" t="n">
        <x:v>0.083</x:v>
      </x:c>
      <x:c r="I18" s="100" t="n">
        <x:f>SUMIF($C$7:$C$34,C18,$H$7:$H$34)+SUMIF($H$49:$H$51,C18,$J$49:$J$51)</x:f>
        <x:v>0.179</x:v>
      </x:c>
      <x:c r="J18" s="100" t="n">
        <x:f>SUMIF($H$49:$H$51,C18,$J$49:$J$51)</x:f>
        <x:v>0</x:v>
      </x:c>
      <x:c r="K18" s="100" t="n">
        <x:f>I18-J18</x:f>
        <x:v>0.179</x:v>
      </x:c>
      <x:c r="L18" s="100" t="n">
        <x:f>IF(K18=0,0,H18*I18/K18)</x:f>
        <x:v>0.083</x:v>
      </x:c>
      <x:c r="M18" s="100" t="n">
        <x:f>IF($M$2=0,0,L18/$M$2)</x:f>
        <x:v>0.08283433133732532</x:v>
      </x:c>
      <x:c r="N18" s="101" t="n">
        <x:f>IF(SUMIF($C$7:$C$34,C18,$M$7:$M$34)=0,0,M18/SUMIF($C$7:$C$34,C18,$M$7:$M$34))</x:f>
        <x:v>0.46368715083798884</x:v>
      </x:c>
      <x:c r="O18" s="102" t="str"/>
    </x:row>
    <x:row r="19" ht="21" customHeight="1">
      <x:c r="A19" s="98" t="n">
        <x:v>13</x:v>
      </x:c>
      <x:c r="B19" s="99" t="str">
        <x:v>가족·생활</x:v>
      </x:c>
      <x:c r="C19" s="99" t="str">
        <x:v>여가 인프라</x:v>
      </x:c>
      <x:c r="D19" s="99" t="str">
        <x:v>도시공원 보급도</x:v>
      </x:c>
      <x:c r="E19" s="98" t="str">
        <x:v>UPSR</x:v>
      </x:c>
      <x:c r="F19" s="98" t="str">
        <x:v>+</x:v>
      </x:c>
      <x:c r="G19" s="98" t="str">
        <x:v>유지</x:v>
      </x:c>
      <x:c r="H19" s="100" t="n">
        <x:v>0.043</x:v>
      </x:c>
      <x:c r="I19" s="100" t="n">
        <x:f>SUMIF($C$7:$C$34,C19,$H$7:$H$34)+SUMIF($H$49:$H$51,C19,$J$49:$J$51)</x:f>
        <x:v>0.179</x:v>
      </x:c>
      <x:c r="J19" s="100" t="n">
        <x:f>SUMIF($H$49:$H$51,C19,$J$49:$J$51)</x:f>
        <x:v>0</x:v>
      </x:c>
      <x:c r="K19" s="100" t="n">
        <x:f>I19-J19</x:f>
        <x:v>0.179</x:v>
      </x:c>
      <x:c r="L19" s="100" t="n">
        <x:f>IF(K19=0,0,H19*I19/K19)</x:f>
        <x:v>0.043</x:v>
      </x:c>
      <x:c r="M19" s="100" t="n">
        <x:f>IF($M$2=0,0,L19/$M$2)</x:f>
        <x:v>0.0429141716566866</x:v>
      </x:c>
      <x:c r="N19" s="101" t="n">
        <x:f>IF(SUMIF($C$7:$C$34,C19,$M$7:$M$34)=0,0,M19/SUMIF($C$7:$C$34,C19,$M$7:$M$34))</x:f>
        <x:v>0.2402234636871508</x:v>
      </x:c>
      <x:c r="O19" s="102" t="str"/>
    </x:row>
    <x:row r="20" ht="21" customHeight="1">
      <x:c r="A20" s="98" t="n">
        <x:v>14</x:v>
      </x:c>
      <x:c r="B20" s="99" t="str">
        <x:v>가족·생활</x:v>
      </x:c>
      <x:c r="C20" s="99" t="str">
        <x:v>여가 인프라</x:v>
      </x:c>
      <x:c r="D20" s="99" t="str">
        <x:v>여가생활 만족도</x:v>
      </x:c>
      <x:c r="E20" s="98" t="str">
        <x:v>LLS</x:v>
      </x:c>
      <x:c r="F20" s="98" t="str">
        <x:v>+</x:v>
      </x:c>
      <x:c r="G20" s="98" t="str">
        <x:v>유지</x:v>
      </x:c>
      <x:c r="H20" s="100" t="n">
        <x:v>0.053</x:v>
      </x:c>
      <x:c r="I20" s="100" t="n">
        <x:f>SUMIF($C$7:$C$34,C20,$H$7:$H$34)+SUMIF($H$49:$H$51,C20,$J$49:$J$51)</x:f>
        <x:v>0.179</x:v>
      </x:c>
      <x:c r="J20" s="100" t="n">
        <x:f>SUMIF($H$49:$H$51,C20,$J$49:$J$51)</x:f>
        <x:v>0</x:v>
      </x:c>
      <x:c r="K20" s="100" t="n">
        <x:f>I20-J20</x:f>
        <x:v>0.179</x:v>
      </x:c>
      <x:c r="L20" s="100" t="n">
        <x:f>IF(K20=0,0,H20*I20/K20)</x:f>
        <x:v>0.053</x:v>
      </x:c>
      <x:c r="M20" s="100" t="n">
        <x:f>IF($M$2=0,0,L20/$M$2)</x:f>
        <x:v>0.05289421157684628</x:v>
      </x:c>
      <x:c r="N20" s="101" t="n">
        <x:f>IF(SUMIF($C$7:$C$34,C20,$M$7:$M$34)=0,0,M20/SUMIF($C$7:$C$34,C20,$M$7:$M$34))</x:f>
        <x:v>0.29608938547486036</x:v>
      </x:c>
      <x:c r="O20" s="102" t="str"/>
    </x:row>
    <x:row r="21" ht="21" customHeight="1">
      <x:c r="A21" s="98" t="n">
        <x:v>15</x:v>
      </x:c>
      <x:c r="B21" s="99" t="str">
        <x:v>가족·생활</x:v>
      </x:c>
      <x:c r="C21" s="99" t="str">
        <x:v>가사수행 격차</x:v>
      </x:c>
      <x:c r="D21" s="99" t="str">
        <x:v>가사노동 공동 참여도</x:v>
      </x:c>
      <x:c r="E21" s="98" t="str">
        <x:v>HPR</x:v>
      </x:c>
      <x:c r="F21" s="98" t="str">
        <x:v>+</x:v>
      </x:c>
      <x:c r="G21" s="98" t="str">
        <x:v>유지</x:v>
      </x:c>
      <x:c r="H21" s="100" t="n">
        <x:v>0.028</x:v>
      </x:c>
      <x:c r="I21" s="100" t="n">
        <x:f>SUMIF($C$7:$C$34,C21,$H$7:$H$34)+SUMIF($H$49:$H$51,C21,$J$49:$J$51)</x:f>
        <x:v>0.071</x:v>
      </x:c>
      <x:c r="J21" s="100" t="n">
        <x:f>SUMIF($H$49:$H$51,C21,$J$49:$J$51)</x:f>
        <x:v>0</x:v>
      </x:c>
      <x:c r="K21" s="100" t="n">
        <x:f>I21-J21</x:f>
        <x:v>0.071</x:v>
      </x:c>
      <x:c r="L21" s="100" t="n">
        <x:f>IF(K21=0,0,H21*I21/K21)</x:f>
        <x:v>0.028</x:v>
      </x:c>
      <x:c r="M21" s="100" t="n">
        <x:f>IF($M$2=0,0,L21/$M$2)</x:f>
        <x:v>0.027944111776447095</x:v>
      </x:c>
      <x:c r="N21" s="101" t="n">
        <x:f>IF(SUMIF($C$7:$C$34,C21,$M$7:$M$34)=0,0,M21/SUMIF($C$7:$C$34,C21,$M$7:$M$34))</x:f>
        <x:v>0.3943661971830987</x:v>
      </x:c>
      <x:c r="O21" s="102" t="str"/>
    </x:row>
    <x:row r="22" ht="21" customHeight="1">
      <x:c r="A22" s="98" t="n">
        <x:v>16</x:v>
      </x:c>
      <x:c r="B22" s="99" t="str">
        <x:v>가족·생활</x:v>
      </x:c>
      <x:c r="C22" s="99" t="str">
        <x:v>가사수행 격차</x:v>
      </x:c>
      <x:c r="D22" s="99" t="str">
        <x:v>돌봄노동 공동 참여도</x:v>
      </x:c>
      <x:c r="E22" s="98" t="str">
        <x:v>CPR</x:v>
      </x:c>
      <x:c r="F22" s="98" t="str">
        <x:v>+</x:v>
      </x:c>
      <x:c r="G22" s="98" t="str">
        <x:v>유지</x:v>
      </x:c>
      <x:c r="H22" s="100" t="n">
        <x:v>0.043</x:v>
      </x:c>
      <x:c r="I22" s="100" t="n">
        <x:f>SUMIF($C$7:$C$34,C22,$H$7:$H$34)+SUMIF($H$49:$H$51,C22,$J$49:$J$51)</x:f>
        <x:v>0.071</x:v>
      </x:c>
      <x:c r="J22" s="100" t="n">
        <x:f>SUMIF($H$49:$H$51,C22,$J$49:$J$51)</x:f>
        <x:v>0</x:v>
      </x:c>
      <x:c r="K22" s="100" t="n">
        <x:f>I22-J22</x:f>
        <x:v>0.071</x:v>
      </x:c>
      <x:c r="L22" s="100" t="n">
        <x:f>IF(K22=0,0,H22*I22/K22)</x:f>
        <x:v>0.043</x:v>
      </x:c>
      <x:c r="M22" s="100" t="n">
        <x:f>IF($M$2=0,0,L22/$M$2)</x:f>
        <x:v>0.0429141716566866</x:v>
      </x:c>
      <x:c r="N22" s="101" t="n">
        <x:f>IF(SUMIF($C$7:$C$34,C22,$M$7:$M$34)=0,0,M22/SUMIF($C$7:$C$34,C22,$M$7:$M$34))</x:f>
        <x:v>0.6056338028169014</x:v>
      </x:c>
      <x:c r="O22" s="102" t="str"/>
    </x:row>
    <x:row r="23" ht="21" customHeight="1">
      <x:c r="A23" s="98" t="n">
        <x:v>17</x:v>
      </x:c>
      <x:c r="B23" s="99" t="str">
        <x:v>보건·안전</x:v>
      </x:c>
      <x:c r="C23" s="99" t="str">
        <x:v>의료서비스 여건</x:v>
      </x:c>
      <x:c r="D23" s="99" t="str">
        <x:v>분만실 병상수 보급도</x:v>
      </x:c>
      <x:c r="E23" s="98" t="str">
        <x:v>DOCR</x:v>
      </x:c>
      <x:c r="F23" s="98" t="str">
        <x:v>+</x:v>
      </x:c>
      <x:c r="G23" s="98" t="str">
        <x:v>대체</x:v>
      </x:c>
      <x:c r="H23" s="100" t="n">
        <x:v>0.022</x:v>
      </x:c>
      <x:c r="I23" s="100" t="n">
        <x:f>SUMIF($C$7:$C$34,C23,$H$7:$H$34)+SUMIF($H$49:$H$51,C23,$J$49:$J$51)</x:f>
        <x:v>0.074</x:v>
      </x:c>
      <x:c r="J23" s="100" t="n">
        <x:f>SUMIF($H$49:$H$51,C23,$J$49:$J$51)</x:f>
        <x:v>0.03</x:v>
      </x:c>
      <x:c r="K23" s="100" t="n">
        <x:f>I23-J23</x:f>
        <x:v>0.044</x:v>
      </x:c>
      <x:c r="L23" s="100" t="n">
        <x:f>IF(K23=0,0,H23*I23/K23)</x:f>
        <x:v>0.037</x:v>
      </x:c>
      <x:c r="M23" s="100" t="n">
        <x:f>IF($M$2=0,0,L23/$M$2)</x:f>
        <x:v>0.0369261477045908</x:v>
      </x:c>
      <x:c r="N23" s="101" t="n">
        <x:f>IF(SUMIF($C$7:$C$34,C23,$M$7:$M$34)=0,0,M23/SUMIF($C$7:$C$34,C23,$M$7:$M$34))</x:f>
        <x:v>0.5</x:v>
      </x:c>
      <x:c r="O23" s="102" t="str">
        <x:v>원문 ‘분만 가능 산부인과 보급도’의 가중치 슬롯 유지</x:v>
      </x:c>
    </x:row>
    <x:row r="24" ht="21" customHeight="1">
      <x:c r="A24" s="98" t="n">
        <x:v>18</x:v>
      </x:c>
      <x:c r="B24" s="99" t="str">
        <x:v>보건·안전</x:v>
      </x:c>
      <x:c r="C24" s="99" t="str">
        <x:v>의료서비스 여건</x:v>
      </x:c>
      <x:c r="D24" s="99" t="str">
        <x:v>소아청소년과 전문인력 보급도</x:v>
      </x:c>
      <x:c r="E24" s="98" t="str">
        <x:v>PCCR</x:v>
      </x:c>
      <x:c r="F24" s="98" t="str">
        <x:v>+</x:v>
      </x:c>
      <x:c r="G24" s="98" t="str">
        <x:v>대체</x:v>
      </x:c>
      <x:c r="H24" s="100" t="n">
        <x:v>0.022</x:v>
      </x:c>
      <x:c r="I24" s="100" t="n">
        <x:f>SUMIF($C$7:$C$34,C24,$H$7:$H$34)+SUMIF($H$49:$H$51,C24,$J$49:$J$51)</x:f>
        <x:v>0.074</x:v>
      </x:c>
      <x:c r="J24" s="100" t="n">
        <x:f>SUMIF($H$49:$H$51,C24,$J$49:$J$51)</x:f>
        <x:v>0.03</x:v>
      </x:c>
      <x:c r="K24" s="100" t="n">
        <x:f>I24-J24</x:f>
        <x:v>0.044</x:v>
      </x:c>
      <x:c r="L24" s="100" t="n">
        <x:f>IF(K24=0,0,H24*I24/K24)</x:f>
        <x:v>0.037</x:v>
      </x:c>
      <x:c r="M24" s="100" t="n">
        <x:f>IF($M$2=0,0,L24/$M$2)</x:f>
        <x:v>0.0369261477045908</x:v>
      </x:c>
      <x:c r="N24" s="101" t="n">
        <x:f>IF(SUMIF($C$7:$C$34,C24,$M$7:$M$34)=0,0,M24/SUMIF($C$7:$C$34,C24,$M$7:$M$34))</x:f>
        <x:v>0.5</x:v>
      </x:c>
      <x:c r="O24" s="102" t="str">
        <x:v>원문 ‘소아청소년과 보급도’의 가중치 슬롯 유지</x:v>
      </x:c>
    </x:row>
    <x:row r="25" ht="21" customHeight="1">
      <x:c r="A25" s="98" t="n">
        <x:v>19</x:v>
      </x:c>
      <x:c r="B25" s="99" t="str">
        <x:v>보건·안전</x:v>
      </x:c>
      <x:c r="C25" s="99" t="str">
        <x:v>산후조리 여건</x:v>
      </x:c>
      <x:c r="D25" s="99" t="str">
        <x:v>산후조리원 보급도</x:v>
      </x:c>
      <x:c r="E25" s="98" t="str">
        <x:v>PPCS</x:v>
      </x:c>
      <x:c r="F25" s="98" t="str">
        <x:v>+</x:v>
      </x:c>
      <x:c r="G25" s="98" t="str">
        <x:v>유지</x:v>
      </x:c>
      <x:c r="H25" s="100" t="n">
        <x:v>0.065</x:v>
      </x:c>
      <x:c r="I25" s="100" t="n">
        <x:f>SUMIF($C$7:$C$34,C25,$H$7:$H$34)+SUMIF($H$49:$H$51,C25,$J$49:$J$51)</x:f>
        <x:v>0.088</x:v>
      </x:c>
      <x:c r="J25" s="100" t="n">
        <x:f>SUMIF($H$49:$H$51,C25,$J$49:$J$51)</x:f>
        <x:v>0</x:v>
      </x:c>
      <x:c r="K25" s="100" t="n">
        <x:f>I25-J25</x:f>
        <x:v>0.088</x:v>
      </x:c>
      <x:c r="L25" s="100" t="n">
        <x:f>IF(K25=0,0,H25*I25/K25)</x:f>
        <x:v>0.065</x:v>
      </x:c>
      <x:c r="M25" s="100" t="n">
        <x:f>IF($M$2=0,0,L25/$M$2)</x:f>
        <x:v>0.0648702594810379</x:v>
      </x:c>
      <x:c r="N25" s="101" t="n">
        <x:f>IF(SUMIF($C$7:$C$34,C25,$M$7:$M$34)=0,0,M25/SUMIF($C$7:$C$34,C25,$M$7:$M$34))</x:f>
        <x:v>0.7386363636363638</x:v>
      </x:c>
      <x:c r="O25" s="102" t="str"/>
    </x:row>
    <x:row r="26" ht="21" customHeight="1">
      <x:c r="A26" s="98" t="n">
        <x:v>20</x:v>
      </x:c>
      <x:c r="B26" s="99" t="str">
        <x:v>보건·안전</x:v>
      </x:c>
      <x:c r="C26" s="99" t="str">
        <x:v>산후조리 여건</x:v>
      </x:c>
      <x:c r="D26" s="99" t="str">
        <x:v>산후조리원 이용 요금</x:v>
      </x:c>
      <x:c r="E26" s="98" t="str">
        <x:v>PPCF</x:v>
      </x:c>
      <x:c r="F26" s="98" t="str">
        <x:v>-</x:v>
      </x:c>
      <x:c r="G26" s="98" t="str">
        <x:v>유지</x:v>
      </x:c>
      <x:c r="H26" s="100" t="n">
        <x:v>0.023</x:v>
      </x:c>
      <x:c r="I26" s="100" t="n">
        <x:f>SUMIF($C$7:$C$34,C26,$H$7:$H$34)+SUMIF($H$49:$H$51,C26,$J$49:$J$51)</x:f>
        <x:v>0.088</x:v>
      </x:c>
      <x:c r="J26" s="100" t="n">
        <x:f>SUMIF($H$49:$H$51,C26,$J$49:$J$51)</x:f>
        <x:v>0</x:v>
      </x:c>
      <x:c r="K26" s="100" t="n">
        <x:f>I26-J26</x:f>
        <x:v>0.088</x:v>
      </x:c>
      <x:c r="L26" s="100" t="n">
        <x:f>IF(K26=0,0,H26*I26/K26)</x:f>
        <x:v>0.023</x:v>
      </x:c>
      <x:c r="M26" s="100" t="n">
        <x:f>IF($M$2=0,0,L26/$M$2)</x:f>
        <x:v>0.022954091816367254</x:v>
      </x:c>
      <x:c r="N26" s="101" t="n">
        <x:f>IF(SUMIF($C$7:$C$34,C26,$M$7:$M$34)=0,0,M26/SUMIF($C$7:$C$34,C26,$M$7:$M$34))</x:f>
        <x:v>0.26136363636363635</x:v>
      </x:c>
      <x:c r="O26" s="102" t="str">
        <x:v>값이 높을수록 불리: 정규화 후 방향 반전</x:v>
      </x:c>
    </x:row>
    <x:row r="27" ht="21" customHeight="1">
      <x:c r="A27" s="98" t="n">
        <x:v>21</x:v>
      </x:c>
      <x:c r="B27" s="99" t="str">
        <x:v>보건·안전</x:v>
      </x:c>
      <x:c r="C27" s="99" t="str">
        <x:v>아동안전 수준</x:v>
      </x:c>
      <x:c r="D27" s="99" t="str">
        <x:v>어린이 교통사고 발생률</x:v>
      </x:c>
      <x:c r="E27" s="98" t="str">
        <x:v>TRA</x:v>
      </x:c>
      <x:c r="F27" s="98" t="str">
        <x:v>-</x:v>
      </x:c>
      <x:c r="G27" s="98" t="str">
        <x:v>유지</x:v>
      </x:c>
      <x:c r="H27" s="100" t="n">
        <x:v>0.031</x:v>
      </x:c>
      <x:c r="I27" s="100" t="n">
        <x:f>SUMIF($C$7:$C$34,C27,$H$7:$H$34)+SUMIF($H$49:$H$51,C27,$J$49:$J$51)</x:f>
        <x:v>0.087</x:v>
      </x:c>
      <x:c r="J27" s="100" t="n">
        <x:f>SUMIF($H$49:$H$51,C27,$J$49:$J$51)</x:f>
        <x:v>0.024</x:v>
      </x:c>
      <x:c r="K27" s="100" t="n">
        <x:f>I27-J27</x:f>
        <x:v>0.063</x:v>
      </x:c>
      <x:c r="L27" s="100" t="n">
        <x:f>IF(K27=0,0,H27*I27/K27)</x:f>
        <x:v>0.042809523809523804</x:v>
      </x:c>
      <x:c r="M27" s="100" t="n">
        <x:f>IF($M$2=0,0,L27/$M$2)</x:f>
        <x:v>0.04272407565820737</x:v>
      </x:c>
      <x:c r="N27" s="101" t="n">
        <x:f>IF(SUMIF($C$7:$C$34,C27,$M$7:$M$34)=0,0,M27/SUMIF($C$7:$C$34,C27,$M$7:$M$34))</x:f>
        <x:v>0.492063492063492</x:v>
      </x:c>
      <x:c r="O27" s="102" t="str">
        <x:v>값이 높을수록 불리: 정규화 후 방향 반전</x:v>
      </x:c>
    </x:row>
    <x:row r="28" ht="21" customHeight="1">
      <x:c r="A28" s="98" t="n">
        <x:v>22</x:v>
      </x:c>
      <x:c r="B28" s="99" t="str">
        <x:v>보건·안전</x:v>
      </x:c>
      <x:c r="C28" s="99" t="str">
        <x:v>아동안전 수준</x:v>
      </x:c>
      <x:c r="D28" s="99" t="str">
        <x:v>사회 안전에 대한 인식</x:v>
      </x:c>
      <x:c r="E28" s="98" t="str">
        <x:v>PSS</x:v>
      </x:c>
      <x:c r="F28" s="98" t="str">
        <x:v>+</x:v>
      </x:c>
      <x:c r="G28" s="98" t="str">
        <x:v>유지</x:v>
      </x:c>
      <x:c r="H28" s="100" t="n">
        <x:v>0.032</x:v>
      </x:c>
      <x:c r="I28" s="100" t="n">
        <x:f>SUMIF($C$7:$C$34,C28,$H$7:$H$34)+SUMIF($H$49:$H$51,C28,$J$49:$J$51)</x:f>
        <x:v>0.087</x:v>
      </x:c>
      <x:c r="J28" s="100" t="n">
        <x:f>SUMIF($H$49:$H$51,C28,$J$49:$J$51)</x:f>
        <x:v>0.024</x:v>
      </x:c>
      <x:c r="K28" s="100" t="n">
        <x:f>I28-J28</x:f>
        <x:v>0.063</x:v>
      </x:c>
      <x:c r="L28" s="100" t="n">
        <x:f>IF(K28=0,0,H28*I28/K28)</x:f>
        <x:v>0.04419047619047619</x:v>
      </x:c>
      <x:c r="M28" s="100" t="n">
        <x:f>IF($M$2=0,0,L28/$M$2)</x:f>
        <x:v>0.04410227164718181</x:v>
      </x:c>
      <x:c r="N28" s="101" t="n">
        <x:f>IF(SUMIF($C$7:$C$34,C28,$M$7:$M$34)=0,0,M28/SUMIF($C$7:$C$34,C28,$M$7:$M$34))</x:f>
        <x:v>0.5079365079365079</x:v>
      </x:c>
      <x:c r="O28" s="102" t="str"/>
    </x:row>
    <x:row r="29" ht="21" customHeight="1">
      <x:c r="A29" s="98" t="n">
        <x:v>23</x:v>
      </x:c>
      <x:c r="B29" s="99" t="str">
        <x:v>사회·문화</x:v>
      </x:c>
      <x:c r="C29" s="99" t="str">
        <x:v>일·가정 양립 여건</x:v>
      </x:c>
      <x:c r="D29" s="99" t="str">
        <x:v>육아휴직 사용률</x:v>
      </x:c>
      <x:c r="E29" s="98" t="str">
        <x:v>PLR</x:v>
      </x:c>
      <x:c r="F29" s="98" t="str">
        <x:v>+</x:v>
      </x:c>
      <x:c r="G29" s="98" t="str">
        <x:v>유지</x:v>
      </x:c>
      <x:c r="H29" s="100" t="n">
        <x:v>0.03</x:v>
      </x:c>
      <x:c r="I29" s="100" t="n">
        <x:f>SUMIF($C$7:$C$34,C29,$H$7:$H$34)+SUMIF($H$49:$H$51,C29,$J$49:$J$51)</x:f>
        <x:v>0.094</x:v>
      </x:c>
      <x:c r="J29" s="100" t="n">
        <x:f>SUMIF($H$49:$H$51,C29,$J$49:$J$51)</x:f>
        <x:v>0.016</x:v>
      </x:c>
      <x:c r="K29" s="100" t="n">
        <x:f>I29-J29</x:f>
        <x:v>0.078</x:v>
      </x:c>
      <x:c r="L29" s="100" t="n">
        <x:f>IF(K29=0,0,H29*I29/K29)</x:f>
        <x:v>0.036153846153846154</x:v>
      </x:c>
      <x:c r="M29" s="100" t="n">
        <x:f>IF($M$2=0,0,L29/$M$2)</x:f>
        <x:v>0.0360816827882696</x:v>
      </x:c>
      <x:c r="N29" s="101" t="n">
        <x:f>IF(SUMIF($C$7:$C$34,C29,$M$7:$M$34)=0,0,M29/SUMIF($C$7:$C$34,C29,$M$7:$M$34))</x:f>
        <x:v>0.3846153846153846</x:v>
      </x:c>
      <x:c r="O29" s="102" t="str"/>
    </x:row>
    <x:row r="30" ht="21" customHeight="1">
      <x:c r="A30" s="98" t="n">
        <x:v>24</x:v>
      </x:c>
      <x:c r="B30" s="99" t="str">
        <x:v>사회·문화</x:v>
      </x:c>
      <x:c r="C30" s="99" t="str">
        <x:v>일·가정 양립 여건</x:v>
      </x:c>
      <x:c r="D30" s="99" t="str">
        <x:v>가족친화인증기업 비율</x:v>
      </x:c>
      <x:c r="E30" s="98" t="str">
        <x:v>FCR</x:v>
      </x:c>
      <x:c r="F30" s="98" t="str">
        <x:v>+</x:v>
      </x:c>
      <x:c r="G30" s="98" t="str">
        <x:v>유지</x:v>
      </x:c>
      <x:c r="H30" s="100" t="n">
        <x:v>0.048</x:v>
      </x:c>
      <x:c r="I30" s="100" t="n">
        <x:f>SUMIF($C$7:$C$34,C30,$H$7:$H$34)+SUMIF($H$49:$H$51,C30,$J$49:$J$51)</x:f>
        <x:v>0.094</x:v>
      </x:c>
      <x:c r="J30" s="100" t="n">
        <x:f>SUMIF($H$49:$H$51,C30,$J$49:$J$51)</x:f>
        <x:v>0.016</x:v>
      </x:c>
      <x:c r="K30" s="100" t="n">
        <x:f>I30-J30</x:f>
        <x:v>0.078</x:v>
      </x:c>
      <x:c r="L30" s="100" t="n">
        <x:f>IF(K30=0,0,H30*I30/K30)</x:f>
        <x:v>0.05784615384615385</x:v>
      </x:c>
      <x:c r="M30" s="100" t="n">
        <x:f>IF($M$2=0,0,L30/$M$2)</x:f>
        <x:v>0.057730692461231366</x:v>
      </x:c>
      <x:c r="N30" s="101" t="n">
        <x:f>IF(SUMIF($C$7:$C$34,C30,$M$7:$M$34)=0,0,M30/SUMIF($C$7:$C$34,C30,$M$7:$M$34))</x:f>
        <x:v>0.6153846153846154</x:v>
      </x:c>
      <x:c r="O30" s="102" t="str"/>
    </x:row>
    <x:row r="31" ht="21" customHeight="1">
      <x:c r="A31" s="98" t="n">
        <x:v>25</x:v>
      </x:c>
      <x:c r="B31" s="99" t="str">
        <x:v>사회·문화</x:v>
      </x:c>
      <x:c r="C31" s="99" t="str">
        <x:v>사회적 가치관</x:v>
      </x:c>
      <x:c r="D31" s="99" t="str">
        <x:v>결혼에 대한 인식</x:v>
      </x:c>
      <x:c r="E31" s="98" t="str">
        <x:v>POM</x:v>
      </x:c>
      <x:c r="F31" s="98" t="str">
        <x:v>+</x:v>
      </x:c>
      <x:c r="G31" s="98" t="str">
        <x:v>유지</x:v>
      </x:c>
      <x:c r="H31" s="100" t="n">
        <x:v>0.027</x:v>
      </x:c>
      <x:c r="I31" s="100" t="n">
        <x:f>SUMIF($C$7:$C$34,C31,$H$7:$H$34)+SUMIF($H$49:$H$51,C31,$J$49:$J$51)</x:f>
        <x:v>0.098</x:v>
      </x:c>
      <x:c r="J31" s="100" t="n">
        <x:f>SUMIF($H$49:$H$51,C31,$J$49:$J$51)</x:f>
        <x:v>0</x:v>
      </x:c>
      <x:c r="K31" s="100" t="n">
        <x:f>I31-J31</x:f>
        <x:v>0.098</x:v>
      </x:c>
      <x:c r="L31" s="100" t="n">
        <x:f>IF(K31=0,0,H31*I31/K31)</x:f>
        <x:v>0.027</x:v>
      </x:c>
      <x:c r="M31" s="100" t="n">
        <x:f>IF($M$2=0,0,L31/$M$2)</x:f>
        <x:v>0.026946107784431125</x:v>
      </x:c>
      <x:c r="N31" s="101" t="n">
        <x:f>IF(SUMIF($C$7:$C$34,C31,$M$7:$M$34)=0,0,M31/SUMIF($C$7:$C$34,C31,$M$7:$M$34))</x:f>
        <x:v>0.2755102040816327</x:v>
      </x:c>
      <x:c r="O31" s="102" t="str"/>
    </x:row>
    <x:row r="32" ht="21" customHeight="1">
      <x:c r="A32" s="98" t="n">
        <x:v>26</x:v>
      </x:c>
      <x:c r="B32" s="99" t="str">
        <x:v>사회·문화</x:v>
      </x:c>
      <x:c r="C32" s="99" t="str">
        <x:v>사회적 가치관</x:v>
      </x:c>
      <x:c r="D32" s="99" t="str">
        <x:v>출산에 대한 인식</x:v>
      </x:c>
      <x:c r="E32" s="98" t="str">
        <x:v>POC</x:v>
      </x:c>
      <x:c r="F32" s="98" t="str">
        <x:v>+</x:v>
      </x:c>
      <x:c r="G32" s="98" t="str">
        <x:v>유지</x:v>
      </x:c>
      <x:c r="H32" s="100" t="n">
        <x:v>0.022</x:v>
      </x:c>
      <x:c r="I32" s="100" t="n">
        <x:f>SUMIF($C$7:$C$34,C32,$H$7:$H$34)+SUMIF($H$49:$H$51,C32,$J$49:$J$51)</x:f>
        <x:v>0.098</x:v>
      </x:c>
      <x:c r="J32" s="100" t="n">
        <x:f>SUMIF($H$49:$H$51,C32,$J$49:$J$51)</x:f>
        <x:v>0</x:v>
      </x:c>
      <x:c r="K32" s="100" t="n">
        <x:f>I32-J32</x:f>
        <x:v>0.098</x:v>
      </x:c>
      <x:c r="L32" s="100" t="n">
        <x:f>IF(K32=0,0,H32*I32/K32)</x:f>
        <x:v>0.022</x:v>
      </x:c>
      <x:c r="M32" s="100" t="n">
        <x:f>IF($M$2=0,0,L32/$M$2)</x:f>
        <x:v>0.021956087824351288</x:v>
      </x:c>
      <x:c r="N32" s="101" t="n">
        <x:f>IF(SUMIF($C$7:$C$34,C32,$M$7:$M$34)=0,0,M32/SUMIF($C$7:$C$34,C32,$M$7:$M$34))</x:f>
        <x:v>0.22448979591836737</x:v>
      </x:c>
      <x:c r="O32" s="102" t="str"/>
    </x:row>
    <x:row r="33" ht="21" customHeight="1">
      <x:c r="A33" s="98" t="n">
        <x:v>27</x:v>
      </x:c>
      <x:c r="B33" s="99" t="str">
        <x:v>사회·문화</x:v>
      </x:c>
      <x:c r="C33" s="99" t="str">
        <x:v>사회적 가치관</x:v>
      </x:c>
      <x:c r="D33" s="99" t="str">
        <x:v>가사분담에 대한 성평등 인식</x:v>
      </x:c>
      <x:c r="E33" s="98" t="str">
        <x:v>GPEH</x:v>
      </x:c>
      <x:c r="F33" s="98" t="str">
        <x:v>+</x:v>
      </x:c>
      <x:c r="G33" s="98" t="str">
        <x:v>유지</x:v>
      </x:c>
      <x:c r="H33" s="100" t="n">
        <x:v>0.019</x:v>
      </x:c>
      <x:c r="I33" s="100" t="n">
        <x:f>SUMIF($C$7:$C$34,C33,$H$7:$H$34)+SUMIF($H$49:$H$51,C33,$J$49:$J$51)</x:f>
        <x:v>0.098</x:v>
      </x:c>
      <x:c r="J33" s="100" t="n">
        <x:f>SUMIF($H$49:$H$51,C33,$J$49:$J$51)</x:f>
        <x:v>0</x:v>
      </x:c>
      <x:c r="K33" s="100" t="n">
        <x:f>I33-J33</x:f>
        <x:v>0.098</x:v>
      </x:c>
      <x:c r="L33" s="100" t="n">
        <x:f>IF(K33=0,0,H33*I33/K33)</x:f>
        <x:v>0.019</x:v>
      </x:c>
      <x:c r="M33" s="100" t="n">
        <x:f>IF($M$2=0,0,L33/$M$2)</x:f>
        <x:v>0.018962075848303384</x:v>
      </x:c>
      <x:c r="N33" s="101" t="n">
        <x:f>IF(SUMIF($C$7:$C$34,C33,$M$7:$M$34)=0,0,M33/SUMIF($C$7:$C$34,C33,$M$7:$M$34))</x:f>
        <x:v>0.19387755102040818</x:v>
      </x:c>
      <x:c r="O33" s="102" t="str"/>
    </x:row>
    <x:row r="34" ht="21" customHeight="1">
      <x:c r="A34" s="98" t="n">
        <x:v>28</x:v>
      </x:c>
      <x:c r="B34" s="99" t="str">
        <x:v>사회·문화</x:v>
      </x:c>
      <x:c r="C34" s="99" t="str">
        <x:v>사회적 가치관</x:v>
      </x:c>
      <x:c r="D34" s="99" t="str">
        <x:v>사회경제적 지위에 대한 인식</x:v>
      </x:c>
      <x:c r="E34" s="98" t="str">
        <x:v>SESP</x:v>
      </x:c>
      <x:c r="F34" s="98" t="str">
        <x:v>+</x:v>
      </x:c>
      <x:c r="G34" s="98" t="str">
        <x:v>유지</x:v>
      </x:c>
      <x:c r="H34" s="100" t="n">
        <x:v>0.03</x:v>
      </x:c>
      <x:c r="I34" s="100" t="n">
        <x:f>SUMIF($C$7:$C$34,C34,$H$7:$H$34)+SUMIF($H$49:$H$51,C34,$J$49:$J$51)</x:f>
        <x:v>0.098</x:v>
      </x:c>
      <x:c r="J34" s="100" t="n">
        <x:f>SUMIF($H$49:$H$51,C34,$J$49:$J$51)</x:f>
        <x:v>0</x:v>
      </x:c>
      <x:c r="K34" s="100" t="n">
        <x:f>I34-J34</x:f>
        <x:v>0.098</x:v>
      </x:c>
      <x:c r="L34" s="100" t="n">
        <x:f>IF(K34=0,0,H34*I34/K34)</x:f>
        <x:v>0.03</x:v>
      </x:c>
      <x:c r="M34" s="100" t="n">
        <x:f>IF($M$2=0,0,L34/$M$2)</x:f>
        <x:v>0.029940119760479028</x:v>
      </x:c>
      <x:c r="N34" s="101" t="n">
        <x:f>IF(SUMIF($C$7:$C$34,C34,$M$7:$M$34)=0,0,M34/SUMIF($C$7:$C$34,C34,$M$7:$M$34))</x:f>
        <x:v>0.30612244897959184</x:v>
      </x:c>
      <x:c r="O34" s="102" t="str"/>
    </x:row>
    <x:row r="35">
      <x:c r="A35" s="103" t="str">
        <x:v>합계</x:v>
      </x:c>
      <x:c r="B35" s="103"/>
      <x:c r="C35" s="103"/>
      <x:c r="D35" s="103"/>
      <x:c r="E35" s="103"/>
      <x:c r="F35" s="103"/>
      <x:c r="G35" s="103"/>
      <x:c r="H35" s="104" t="n">
        <x:f>SUM(H7:H34)</x:f>
        <x:v>0.9320000000000004</x:v>
      </x:c>
      <x:c r="I35" s="104"/>
      <x:c r="J35" s="104"/>
      <x:c r="K35" s="104"/>
      <x:c r="L35" s="104" t="n">
        <x:f>SUM(L7:L34)</x:f>
        <x:v>1.0020000000000004</x:v>
      </x:c>
      <x:c r="M35" s="104" t="n">
        <x:f>SUM(M7:M34)</x:f>
        <x:v>0.9999999999999996</x:v>
      </x:c>
      <x:c r="N35" s="103"/>
      <x:c r="O35" s="103" t="str">
        <x:f>IF(ROUND(M35,8)=1,"정상","확인 필요")</x:f>
        <x:v>정상</x:v>
      </x:c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</x:row>
    <x:row r="38">
      <x:c r="A38" s="105" t="str">
        <x:v>세부영역별 조정 가중치 단순합</x:v>
      </x:c>
      <x:c r="B38" s="105"/>
      <x:c r="C38" s="105"/>
      <x:c r="D38" s="105"/>
      <x:c r="E38" s="105"/>
      <x:c r="F38" s="105"/>
      <x:c r="G38" s="86"/>
      <x:c r="H38" s="105" t="str">
        <x:v>대영역별 조정 가중치 합계</x:v>
      </x:c>
      <x:c r="I38" s="105"/>
      <x:c r="J38" s="105"/>
      <x:c r="K38" s="105"/>
      <x:c r="L38" s="86"/>
      <x:c r="M38" s="86"/>
      <x:c r="N38" s="86"/>
      <x:c r="O38" s="86"/>
    </x:row>
    <x:row r="39">
      <x:c r="A39" s="106" t="str">
        <x:v>세부영역</x:v>
      </x:c>
      <x:c r="B39" s="106" t="str">
        <x:v>대영역</x:v>
      </x:c>
      <x:c r="C39" s="106" t="str">
        <x:v>조정 가중치 합</x:v>
      </x:c>
      <x:c r="D39" s="106" t="str">
        <x:v>비중</x:v>
      </x:c>
      <x:c r="E39" s="106" t="str">
        <x:v>지표 수</x:v>
      </x:c>
      <x:c r="F39" s="106" t="str">
        <x:v>내부 비중 합</x:v>
      </x:c>
      <x:c r="G39" s="86"/>
      <x:c r="H39" s="106" t="str">
        <x:v>대영역</x:v>
      </x:c>
      <x:c r="I39" s="106" t="str">
        <x:v>조정 가중치 합</x:v>
      </x:c>
      <x:c r="J39" s="106" t="str">
        <x:v>비중</x:v>
      </x:c>
      <x:c r="K39" s="106" t="str">
        <x:v>지표 수</x:v>
      </x:c>
      <x:c r="L39" s="86"/>
      <x:c r="M39" s="86"/>
      <x:c r="N39" s="86"/>
      <x:c r="O39" s="86"/>
    </x:row>
    <x:row r="40" ht="23" customHeight="1">
      <x:c r="A40" s="107" t="str">
        <x:v>고용여건</x:v>
      </x:c>
      <x:c r="B40" s="107" t="str">
        <x:v>경제·고용·주거</x:v>
      </x:c>
      <x:c r="C40" s="108" t="n">
        <x:f>SUMIF($C$7:$C$34,A40,$M$7:$M$34)</x:f>
        <x:v>0.09181636726546902</x:v>
      </x:c>
      <x:c r="D40" s="108" t="n">
        <x:f>C40</x:f>
        <x:v>0.09181636726546902</x:v>
      </x:c>
      <x:c r="E40" s="107" t="n">
        <x:f>COUNTIF($C$7:$C$34,A40)</x:f>
        <x:v>3</x:v>
      </x:c>
      <x:c r="F40" s="109" t="n">
        <x:f>SUMIF($C$7:$C$34,A40,$N$7:$N$34)</x:f>
        <x:v>1</x:v>
      </x:c>
      <x:c r="G40" s="86"/>
      <x:c r="H40" s="107" t="str">
        <x:v>경제·고용·주거</x:v>
      </x:c>
      <x:c r="I40" s="108" t="n">
        <x:f>SUMIF($B$7:$B$34,H40,$M$7:$M$34)</x:f>
        <x:v>0.23552894211576836</x:v>
      </x:c>
      <x:c r="J40" s="108" t="n">
        <x:f>I40</x:f>
        <x:v>0.23552894211576836</x:v>
      </x:c>
      <x:c r="K40" s="107" t="n">
        <x:f>COUNTIF($B$7:$B$34,H40)</x:f>
        <x:v>8</x:v>
      </x:c>
      <x:c r="L40" s="86"/>
      <x:c r="M40" s="86"/>
      <x:c r="N40" s="86"/>
      <x:c r="O40" s="86"/>
    </x:row>
    <x:row r="41" ht="23" customHeight="1">
      <x:c r="A41" s="110" t="str">
        <x:v>주거 안정성</x:v>
      </x:c>
      <x:c r="B41" s="110" t="str">
        <x:v>경제·고용·주거</x:v>
      </x:c>
      <x:c r="C41" s="111" t="n">
        <x:f>SUMIF($C$7:$C$34,A41,$M$7:$M$34)</x:f>
        <x:v>0.05888223552894209</x:v>
      </x:c>
      <x:c r="D41" s="111" t="n">
        <x:f>C41</x:f>
        <x:v>0.05888223552894209</x:v>
      </x:c>
      <x:c r="E41" s="110" t="n">
        <x:f>COUNTIF($C$7:$C$34,A41)</x:f>
        <x:v>3</x:v>
      </x:c>
      <x:c r="F41" s="112" t="n">
        <x:f>SUMIF($C$7:$C$34,A41,$N$7:$N$34)</x:f>
        <x:v>1</x:v>
      </x:c>
      <x:c r="G41" s="86"/>
      <x:c r="H41" s="110" t="str">
        <x:v>가족·생활</x:v>
      </x:c>
      <x:c r="I41" s="111" t="n">
        <x:f>SUMIF($B$7:$B$34,H41,$M$7:$M$34)</x:f>
        <x:v>0.3243512974051895</x:v>
      </x:c>
      <x:c r="J41" s="111" t="n">
        <x:f>I41</x:f>
        <x:v>0.3243512974051895</x:v>
      </x:c>
      <x:c r="K41" s="110" t="n">
        <x:f>COUNTIF($B$7:$B$34,H41)</x:f>
        <x:v>8</x:v>
      </x:c>
      <x:c r="L41" s="86"/>
      <x:c r="M41" s="86"/>
      <x:c r="N41" s="86"/>
      <x:c r="O41" s="86"/>
    </x:row>
    <x:row r="42" ht="23" customHeight="1">
      <x:c r="A42" s="110" t="str">
        <x:v>경제적 여건</x:v>
      </x:c>
      <x:c r="B42" s="110" t="str">
        <x:v>경제·고용·주거</x:v>
      </x:c>
      <x:c r="C42" s="111" t="n">
        <x:f>SUMIF($C$7:$C$34,A42,$M$7:$M$34)</x:f>
        <x:v>0.08483033932135725</x:v>
      </x:c>
      <x:c r="D42" s="111" t="n">
        <x:f>C42</x:f>
        <x:v>0.08483033932135725</x:v>
      </x:c>
      <x:c r="E42" s="110" t="n">
        <x:f>COUNTIF($C$7:$C$34,A42)</x:f>
        <x:v>2</x:v>
      </x:c>
      <x:c r="F42" s="112" t="n">
        <x:f>SUMIF($C$7:$C$34,A42,$N$7:$N$34)</x:f>
        <x:v>0.9999999999999999</x:v>
      </x:c>
      <x:c r="G42" s="86"/>
      <x:c r="H42" s="110" t="str">
        <x:v>보건·안전</x:v>
      </x:c>
      <x:c r="I42" s="111" t="n">
        <x:f>SUMIF($B$7:$B$34,H42,$M$7:$M$34)</x:f>
        <x:v>0.24850299401197595</x:v>
      </x:c>
      <x:c r="J42" s="111" t="n">
        <x:f>I42</x:f>
        <x:v>0.24850299401197595</x:v>
      </x:c>
      <x:c r="K42" s="110" t="n">
        <x:f>COUNTIF($B$7:$B$34,H42)</x:f>
        <x:v>6</x:v>
      </x:c>
      <x:c r="L42" s="86"/>
      <x:c r="M42" s="86"/>
      <x:c r="N42" s="86"/>
      <x:c r="O42" s="86"/>
    </x:row>
    <x:row r="43" ht="23" customHeight="1">
      <x:c r="A43" s="110" t="str">
        <x:v>돌봄여건</x:v>
      </x:c>
      <x:c r="B43" s="110" t="str">
        <x:v>가족·생활</x:v>
      </x:c>
      <x:c r="C43" s="111" t="n">
        <x:f>SUMIF($C$7:$C$34,A43,$M$7:$M$34)</x:f>
        <x:v>0.07485029940119757</x:v>
      </x:c>
      <x:c r="D43" s="111" t="n">
        <x:f>C43</x:f>
        <x:v>0.07485029940119757</x:v>
      </x:c>
      <x:c r="E43" s="110" t="n">
        <x:f>COUNTIF($C$7:$C$34,A43)</x:f>
        <x:v>3</x:v>
      </x:c>
      <x:c r="F43" s="112" t="n">
        <x:f>SUMIF($C$7:$C$34,A43,$N$7:$N$34)</x:f>
        <x:v>1</x:v>
      </x:c>
      <x:c r="G43" s="86"/>
      <x:c r="H43" s="113" t="str">
        <x:v>사회·문화</x:v>
      </x:c>
      <x:c r="I43" s="114" t="n">
        <x:f>SUMIF($B$7:$B$34,H43,$M$7:$M$34)</x:f>
        <x:v>0.1916167664670658</x:v>
      </x:c>
      <x:c r="J43" s="114" t="n">
        <x:f>I43</x:f>
        <x:v>0.1916167664670658</x:v>
      </x:c>
      <x:c r="K43" s="113" t="n">
        <x:f>COUNTIF($B$7:$B$34,H43)</x:f>
        <x:v>6</x:v>
      </x:c>
      <x:c r="L43" s="86"/>
      <x:c r="M43" s="86"/>
      <x:c r="N43" s="86"/>
      <x:c r="O43" s="86"/>
    </x:row>
    <x:row r="44" ht="23" customHeight="1">
      <x:c r="A44" s="110" t="str">
        <x:v>여가 인프라</x:v>
      </x:c>
      <x:c r="B44" s="110" t="str">
        <x:v>가족·생활</x:v>
      </x:c>
      <x:c r="C44" s="111" t="n">
        <x:f>SUMIF($C$7:$C$34,A44,$M$7:$M$34)</x:f>
        <x:v>0.1786427145708582</x:v>
      </x:c>
      <x:c r="D44" s="111" t="n">
        <x:f>C44</x:f>
        <x:v>0.1786427145708582</x:v>
      </x:c>
      <x:c r="E44" s="110" t="n">
        <x:f>COUNTIF($C$7:$C$34,A44)</x:f>
        <x:v>3</x:v>
      </x:c>
      <x:c r="F44" s="112" t="n">
        <x:f>SUMIF($C$7:$C$34,A44,$N$7:$N$34)</x:f>
        <x:v>1</x:v>
      </x:c>
      <x:c r="G44" s="86"/>
      <x:c r="H44" s="103" t="str">
        <x:v>전체</x:v>
      </x:c>
      <x:c r="I44" s="115" t="n">
        <x:f>SUM(I40:I43)</x:f>
        <x:v>0.9999999999999997</x:v>
      </x:c>
      <x:c r="J44" s="115" t="n">
        <x:f>SUM(J40:J43)</x:f>
        <x:v>0.9999999999999997</x:v>
      </x:c>
      <x:c r="K44" s="103" t="n">
        <x:f>SUM(K40:K43)</x:f>
        <x:v>28</x:v>
      </x:c>
      <x:c r="L44" s="86"/>
      <x:c r="M44" s="86"/>
      <x:c r="N44" s="86"/>
      <x:c r="O44" s="86"/>
    </x:row>
    <x:row r="45" ht="23" customHeight="1">
      <x:c r="A45" s="110" t="str">
        <x:v>가사수행 격차</x:v>
      </x:c>
      <x:c r="B45" s="110" t="str">
        <x:v>가족·생활</x:v>
      </x:c>
      <x:c r="C45" s="111" t="n">
        <x:f>SUMIF($C$7:$C$34,A45,$M$7:$M$34)</x:f>
        <x:v>0.07085828343313369</x:v>
      </x:c>
      <x:c r="D45" s="111" t="n">
        <x:f>C45</x:f>
        <x:v>0.07085828343313369</x:v>
      </x:c>
      <x:c r="E45" s="110" t="n">
        <x:f>COUNTIF($C$7:$C$34,A45)</x:f>
        <x:v>2</x:v>
      </x:c>
      <x:c r="F45" s="112" t="n">
        <x:f>SUMIF($C$7:$C$34,A45,$N$7:$N$34)</x:f>
        <x:v>1</x:v>
      </x:c>
      <x:c r="G45" s="86"/>
      <x:c r="H45" s="86"/>
      <x:c r="I45" s="86"/>
      <x:c r="J45" s="86"/>
      <x:c r="K45" s="86"/>
      <x:c r="L45" s="86"/>
      <x:c r="M45" s="86"/>
      <x:c r="N45" s="86"/>
      <x:c r="O45" s="86"/>
    </x:row>
    <x:row r="46" ht="23" customHeight="1">
      <x:c r="A46" s="110" t="str">
        <x:v>의료서비스 여건</x:v>
      </x:c>
      <x:c r="B46" s="110" t="str">
        <x:v>보건·안전</x:v>
      </x:c>
      <x:c r="C46" s="111" t="n">
        <x:f>SUMIF($C$7:$C$34,A46,$M$7:$M$34)</x:f>
        <x:v>0.0738522954091816</x:v>
      </x:c>
      <x:c r="D46" s="111" t="n">
        <x:f>C46</x:f>
        <x:v>0.0738522954091816</x:v>
      </x:c>
      <x:c r="E46" s="110" t="n">
        <x:f>COUNTIF($C$7:$C$34,A46)</x:f>
        <x:v>2</x:v>
      </x:c>
      <x:c r="F46" s="112" t="n">
        <x:f>SUMIF($C$7:$C$34,A46,$N$7:$N$34)</x:f>
        <x:v>1</x:v>
      </x:c>
      <x:c r="G46" s="86"/>
      <x:c r="H46" s="86"/>
      <x:c r="I46" s="86"/>
      <x:c r="J46" s="86"/>
      <x:c r="K46" s="86"/>
      <x:c r="L46" s="86"/>
      <x:c r="M46" s="86"/>
      <x:c r="N46" s="86"/>
      <x:c r="O46" s="86"/>
    </x:row>
    <x:row r="47" ht="23" customHeight="1">
      <x:c r="A47" s="110" t="str">
        <x:v>산후조리 여건</x:v>
      </x:c>
      <x:c r="B47" s="110" t="str">
        <x:v>보건·안전</x:v>
      </x:c>
      <x:c r="C47" s="111" t="n">
        <x:f>SUMIF($C$7:$C$34,A47,$M$7:$M$34)</x:f>
        <x:v>0.08782435129740515</x:v>
      </x:c>
      <x:c r="D47" s="111" t="n">
        <x:f>C47</x:f>
        <x:v>0.08782435129740515</x:v>
      </x:c>
      <x:c r="E47" s="110" t="n">
        <x:f>COUNTIF($C$7:$C$34,A47)</x:f>
        <x:v>2</x:v>
      </x:c>
      <x:c r="F47" s="112" t="n">
        <x:f>SUMIF($C$7:$C$34,A47,$N$7:$N$34)</x:f>
        <x:v>1</x:v>
      </x:c>
      <x:c r="G47" s="86"/>
      <x:c r="H47" s="105" t="str">
        <x:v>삭제 지표 원자료 및 근거</x:v>
      </x:c>
      <x:c r="I47" s="105"/>
      <x:c r="J47" s="105"/>
      <x:c r="K47" s="105"/>
      <x:c r="L47" s="86"/>
      <x:c r="M47" s="86"/>
      <x:c r="N47" s="86"/>
      <x:c r="O47" s="86"/>
    </x:row>
    <x:row r="48" ht="23" customHeight="1">
      <x:c r="A48" s="110" t="str">
        <x:v>아동안전 수준</x:v>
      </x:c>
      <x:c r="B48" s="110" t="str">
        <x:v>보건·안전</x:v>
      </x:c>
      <x:c r="C48" s="111" t="n">
        <x:f>SUMIF($C$7:$C$34,A48,$M$7:$M$34)</x:f>
        <x:v>0.08682634730538918</x:v>
      </x:c>
      <x:c r="D48" s="111" t="n">
        <x:f>C48</x:f>
        <x:v>0.08682634730538918</x:v>
      </x:c>
      <x:c r="E48" s="110" t="n">
        <x:f>COUNTIF($C$7:$C$34,A48)</x:f>
        <x:v>2</x:v>
      </x:c>
      <x:c r="F48" s="112" t="n">
        <x:f>SUMIF($C$7:$C$34,A48,$N$7:$N$34)</x:f>
        <x:v>0.9999999999999999</x:v>
      </x:c>
      <x:c r="G48" s="86"/>
      <x:c r="H48" s="106" t="str">
        <x:v>세부영역</x:v>
      </x:c>
      <x:c r="I48" s="106" t="str">
        <x:v>삭제 지표</x:v>
      </x:c>
      <x:c r="J48" s="106" t="str">
        <x:v>원문 가중치</x:v>
      </x:c>
      <x:c r="K48" s="106" t="str">
        <x:v>제외 근거</x:v>
      </x:c>
      <x:c r="L48" s="86"/>
      <x:c r="M48" s="86"/>
      <x:c r="N48" s="86"/>
      <x:c r="O48" s="86"/>
    </x:row>
    <x:row r="49" ht="23" customHeight="1">
      <x:c r="A49" s="110" t="str">
        <x:v>일·가정 양립 여건</x:v>
      </x:c>
      <x:c r="B49" s="110" t="str">
        <x:v>사회·문화</x:v>
      </x:c>
      <x:c r="C49" s="111" t="n">
        <x:f>SUMIF($C$7:$C$34,A49,$M$7:$M$34)</x:f>
        <x:v>0.09381237524950096</x:v>
      </x:c>
      <x:c r="D49" s="111" t="n">
        <x:f>C49</x:f>
        <x:v>0.09381237524950096</x:v>
      </x:c>
      <x:c r="E49" s="110" t="n">
        <x:f>COUNTIF($C$7:$C$34,A49)</x:f>
        <x:v>2</x:v>
      </x:c>
      <x:c r="F49" s="112" t="n">
        <x:f>SUMIF($C$7:$C$34,A49,$N$7:$N$34)</x:f>
        <x:v>1</x:v>
      </x:c>
      <x:c r="G49" s="86"/>
      <x:c r="H49" s="116" t="str">
        <x:v>의료서비스 여건</x:v>
      </x:c>
      <x:c r="I49" s="116" t="str">
        <x:v>난임시술기관 보급도</x:v>
      </x:c>
      <x:c r="J49" s="117" t="n">
        <x:v>0.03</x:v>
      </x:c>
      <x:c r="K49" s="116" t="str">
        <x:v>전국·시계열 자료의 안정적 구축이 어려워 제외</x:v>
      </x:c>
      <x:c r="L49" s="86"/>
      <x:c r="M49" s="86"/>
      <x:c r="N49" s="86"/>
      <x:c r="O49" s="86"/>
    </x:row>
    <x:row r="50" ht="23" customHeight="1">
      <x:c r="A50" s="113" t="str">
        <x:v>사회적 가치관</x:v>
      </x:c>
      <x:c r="B50" s="113" t="str">
        <x:v>사회·문화</x:v>
      </x:c>
      <x:c r="C50" s="114" t="n">
        <x:f>SUMIF($C$7:$C$34,A50,$M$7:$M$34)</x:f>
        <x:v>0.09780439121756482</x:v>
      </x:c>
      <x:c r="D50" s="114" t="n">
        <x:f>C50</x:f>
        <x:v>0.09780439121756482</x:v>
      </x:c>
      <x:c r="E50" s="113" t="n">
        <x:f>COUNTIF($C$7:$C$34,A50)</x:f>
        <x:v>4</x:v>
      </x:c>
      <x:c r="F50" s="118" t="n">
        <x:f>SUMIF($C$7:$C$34,A50,$N$7:$N$34)</x:f>
        <x:v>1</x:v>
      </x:c>
      <x:c r="G50" s="86"/>
      <x:c r="H50" s="119" t="str">
        <x:v>아동안전 수준</x:v>
      </x:c>
      <x:c r="I50" s="119" t="str">
        <x:v>학교폭력 발생률</x:v>
      </x:c>
      <x:c r="J50" s="120" t="n">
        <x:v>0.024</x:v>
      </x:c>
      <x:c r="K50" s="119" t="str">
        <x:v>전국·시계열 일관 자료 구축 한계로 제외</x:v>
      </x:c>
      <x:c r="L50" s="86"/>
      <x:c r="M50" s="86"/>
      <x:c r="N50" s="86"/>
      <x:c r="O50" s="86"/>
    </x:row>
    <x:row r="51" ht="23" customHeight="1">
      <x:c r="A51" s="103" t="str">
        <x:v>전체</x:v>
      </x:c>
      <x:c r="B51" s="103"/>
      <x:c r="C51" s="115" t="n">
        <x:f>SUM(C40:C50)</x:f>
        <x:v>0.9999999999999996</x:v>
      </x:c>
      <x:c r="D51" s="115" t="n">
        <x:f>SUM(D40:D50)</x:f>
        <x:v>0.9999999999999996</x:v>
      </x:c>
      <x:c r="E51" s="103" t="n">
        <x:f>SUM(E40:E50)</x:f>
        <x:v>28</x:v>
      </x:c>
      <x:c r="F51" s="103"/>
      <x:c r="G51" s="86"/>
      <x:c r="H51" s="121" t="str">
        <x:v>일·가정 양립 여건</x:v>
      </x:c>
      <x:c r="I51" s="121" t="str">
        <x:v>저출생 대응 예산액</x:v>
      </x:c>
      <x:c r="J51" s="122" t="n">
        <x:v>0.016</x:v>
      </x:c>
      <x:c r="K51" s="121" t="str">
        <x:v>재정대응지수와 중복되어 순환 문제를 피하기 위해 제외</x:v>
      </x:c>
      <x:c r="L51" s="86"/>
      <x:c r="M51" s="86"/>
      <x:c r="N51" s="86"/>
      <x:c r="O51" s="86"/>
    </x:row>
  </x:sheetData>
  <x:mergeCells>
    <x:mergeCell ref="A1:O1"/>
    <x:mergeCell ref="A2:J2"/>
    <x:mergeCell ref="A3:J3"/>
    <x:mergeCell ref="A4:J4"/>
    <x:mergeCell ref="A38:F38"/>
    <x:mergeCell ref="H38:K38"/>
    <x:mergeCell ref="H47:K47"/>
  </x:mergeCells>
  <x:conditionalFormatting sqref="O4:O4">
    <x:cfRule type="containsText" dxfId="0" priority="1" operator="containsText" text="통과"/>
    <x:cfRule type="containsText" dxfId="1" priority="2" operator="containsText" text="확인 필요"/>
  </x:conditionalFormatting>
  <x:conditionalFormatting sqref="G7:G34">
    <x:cfRule type="containsText" dxfId="2" priority="3" operator="containsText" text="대체"/>
  </x:conditionalFormatting>
  <x:conditionalFormatting sqref="F7:F34">
    <x:cfRule type="containsText" dxfId="3" priority="4" operator="containsText" text="-"/>
  </x:conditionalFormatting>
  <x:conditionalFormatting sqref="M7:M34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{31558D0B-EB40-871C-8C3C-2D732C1758DD}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e93fe2cd2434bb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31558D0B-EB40-871C-8C3C-2D732C1758DD}">
            <x14:dataBar gradient="1">
              <x14:cfvo type="min"/>
              <x14:cfvo type="max"/>
              <x14:fillColor rgb="FF5B9BD5"/>
            </x14:dataBar>
          </x14:cfRule>
          <xm:sqref>M7:M34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0" hidden="0" customWidth="1"/>
    <x:col min="4" max="4" width="32" hidden="0" customWidth="1"/>
    <x:col min="5" max="5" width="10" hidden="0" customWidth="1"/>
    <x:col min="6" max="6" width="8" hidden="0" customWidth="1"/>
    <x:col min="7" max="7" width="10" hidden="0" customWidth="1"/>
    <x:col min="8" max="8" width="15" hidden="0" customWidth="1"/>
    <x:col min="9" max="9" width="17" hidden="0" customWidth="1"/>
    <x:col min="10" max="10" width="14" hidden="0" customWidth="1"/>
    <x:col min="11" max="11" width="14" hidden="0" customWidth="1"/>
    <x:col min="12" max="12" width="17" hidden="0" customWidth="1"/>
    <x:col min="13" max="13" width="17" hidden="0" customWidth="1"/>
    <x:col min="14" max="14" width="18" hidden="0" customWidth="1"/>
    <x:col min="15" max="15" width="40" hidden="0" customWidth="1"/>
  </x:cols>
  <x:sheetData>
    <x:row r="1" ht="30" customHeight="1">
      <x:c r="A1" s="84" t="str">
        <x:v>AHP 기준 조정 가중치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</x:row>
    <x:row r="2" ht="24" customHeight="1">
      <x:c r="A2" s="85" t="str">
        <x:v>AHP(Analytic Hierarchy Process, 계층분석법) 가중치는 전문가의 상대적 중요도 판단을 반영합니다.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6"/>
      <x:c r="L2" s="87" t="str">
        <x:v>원문 표시값 합</x:v>
      </x:c>
      <x:c r="M2" s="88" t="n">
        <x:f>SUM(H7:H34)+SUM(J49:J51)</x:f>
        <x:v>0.9980000000000003</x:v>
      </x:c>
      <x:c r="N2" s="89" t="str">
        <x:v>최종 조정 합</x:v>
      </x:c>
      <x:c r="O2" s="88" t="n">
        <x:f>SUM(M7:M34)</x:f>
        <x:v>0.9999999999999998</x:v>
      </x:c>
    </x:row>
    <x:row r="3" ht="24" customHeight="1">
      <x:c r="A3" s="85" t="str">
        <x:v>조정 규칙: 삭제 3개 지표의 가중치를 같은 세부영역의 잔존지표에 원래 비율대로 재배분한 뒤, 전체 합이 1이 되도록 정규화합니다.</x:v>
      </x:c>
      <x:c r="B3" s="85"/>
      <x:c r="C3" s="85"/>
      <x:c r="D3" s="85"/>
      <x:c r="E3" s="85"/>
      <x:c r="F3" s="85"/>
      <x:c r="G3" s="85"/>
      <x:c r="H3" s="85"/>
      <x:c r="I3" s="85"/>
      <x:c r="J3" s="85"/>
      <x:c r="K3" s="86"/>
      <x:c r="L3" s="87" t="str">
        <x:v>잔존 지표 수</x:v>
      </x:c>
      <x:c r="M3" s="90" t="n">
        <x:f>COUNTA(D7:D34)</x:f>
        <x:v>28</x:v>
      </x:c>
      <x:c r="N3" s="91" t="str">
        <x:v>삭제 지표 수</x:v>
      </x:c>
      <x:c r="O3" s="90" t="n">
        <x:f>COUNTA(I49:I51)</x:f>
        <x:v>3</x:v>
      </x:c>
    </x:row>
    <x:row r="4" ht="24" customHeight="1">
      <x:c r="A4" s="85" t="str">
        <x:v>출처: 제주여성가족연구원 「제주지역 출산환경지수 개발 연구」 p.83 &lt;표 Ⅳ-3&gt; | https://drive.google.com/file/d/1y2hWFmiBwIGSJTUm4PVYTvpBkwqPtv1V/view?usp=drivesdk</x:v>
      </x:c>
      <x:c r="B4" s="85"/>
      <x:c r="C4" s="85"/>
      <x:c r="D4" s="85"/>
      <x:c r="E4" s="85"/>
      <x:c r="F4" s="85"/>
      <x:c r="G4" s="85"/>
      <x:c r="H4" s="85"/>
      <x:c r="I4" s="85"/>
      <x:c r="J4" s="85"/>
      <x:c r="K4" s="86"/>
      <x:c r="L4" s="87" t="str">
        <x:v>대체 지표 수</x:v>
      </x:c>
      <x:c r="M4" s="90" t="n">
        <x:f>COUNTIF(G7:G34,"대체")</x:f>
        <x:v>2</x:v>
      </x:c>
      <x:c r="N4" s="91" t="str">
        <x:v>검산(소수 8자리)</x:v>
      </x:c>
      <x:c r="O4" s="90" t="str">
        <x:f>IF(AND(ROUND(O2,8)=1,ROUND(C51,8)=1,ROUND(I44,8)=1),"통과","확인 필요")</x:f>
        <x:v>통과</x:v>
      </x:c>
    </x:row>
    <x:row r="5">
      <x:c r="A5" s="86"/>
      <x:c r="B5" s="86"/>
      <x:c r="C5" s="86"/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</x:row>
    <x:row r="6" ht="34" customHeight="1">
      <x:c r="A6" s="92" t="str">
        <x:v>번호</x:v>
      </x:c>
      <x:c r="B6" s="92" t="str">
        <x:v>대영역</x:v>
      </x:c>
      <x:c r="C6" s="92" t="str">
        <x:v>세부영역</x:v>
      </x:c>
      <x:c r="D6" s="92" t="str">
        <x:v>지표</x:v>
      </x:c>
      <x:c r="E6" s="92" t="str">
        <x:v>표기</x:v>
      </x:c>
      <x:c r="F6" s="92" t="str">
        <x:v>방향</x:v>
      </x:c>
      <x:c r="G6" s="92" t="str">
        <x:v>처리</x:v>
      </x:c>
      <x:c r="H6" s="92" t="str">
        <x:v>원문 가중치</x:v>
      </x:c>
      <x:c r="I6" s="92" t="str">
        <x:v>원문 세부영역 합</x:v>
      </x:c>
      <x:c r="J6" s="92" t="str">
        <x:v>삭제 가중치</x:v>
      </x:c>
      <x:c r="K6" s="92" t="str">
        <x:v>잔존 합</x:v>
      </x:c>
      <x:c r="L6" s="92" t="str">
        <x:v>세부영역 재배분 후</x:v>
      </x:c>
      <x:c r="M6" s="92" t="str">
        <x:v>최종 조정 가중치</x:v>
      </x:c>
      <x:c r="N6" s="92" t="str">
        <x:v>세부영역 내부 비중</x:v>
      </x:c>
      <x:c r="O6" s="92" t="str">
        <x:v>비고</x:v>
      </x:c>
    </x:row>
    <x:row r="7" ht="21" customHeight="1">
      <x:c r="A7" s="93" t="n">
        <x:v>1</x:v>
      </x:c>
      <x:c r="B7" s="94" t="str">
        <x:v>경제·고용·주거</x:v>
      </x:c>
      <x:c r="C7" s="94" t="str">
        <x:v>고용여건</x:v>
      </x:c>
      <x:c r="D7" s="94" t="str">
        <x:v>청년 고용률</x:v>
      </x:c>
      <x:c r="E7" s="93" t="str">
        <x:v>YER</x:v>
      </x:c>
      <x:c r="F7" s="93" t="str">
        <x:v>+</x:v>
      </x:c>
      <x:c r="G7" s="93" t="str">
        <x:v>유지</x:v>
      </x:c>
      <x:c r="H7" s="95" t="n">
        <x:v>0.032</x:v>
      </x:c>
      <x:c r="I7" s="95" t="n">
        <x:f>SUMIF($C$7:$C$34,C7,$H$7:$H$34)+SUMIF($H$49:$H$51,C7,$J$49:$J$51)</x:f>
        <x:v>0.102</x:v>
      </x:c>
      <x:c r="J7" s="95" t="n">
        <x:f>SUMIF($H$49:$H$51,C7,$J$49:$J$51)</x:f>
        <x:v>0</x:v>
      </x:c>
      <x:c r="K7" s="95" t="n">
        <x:f>I7-J7</x:f>
        <x:v>0.102</x:v>
      </x:c>
      <x:c r="L7" s="95" t="n">
        <x:f>IF(K7=0,0,H7*I7/K7)</x:f>
        <x:v>0.032</x:v>
      </x:c>
      <x:c r="M7" s="95" t="n">
        <x:f>IF($M$2=0,0,L7/$M$2)</x:f>
        <x:v>0.032064128256513016</x:v>
      </x:c>
      <x:c r="N7" s="96" t="n">
        <x:f>IF(SUMIF($C$7:$C$34,C7,$M$7:$M$34)=0,0,M7/SUMIF($C$7:$C$34,C7,$M$7:$M$34))</x:f>
        <x:v>0.3137254901960784</x:v>
      </x:c>
      <x:c r="O7" s="97" t="str"/>
    </x:row>
    <x:row r="8" ht="21" customHeight="1">
      <x:c r="A8" s="98" t="n">
        <x:v>2</x:v>
      </x:c>
      <x:c r="B8" s="99" t="str">
        <x:v>경제·고용·주거</x:v>
      </x:c>
      <x:c r="C8" s="99" t="str">
        <x:v>고용여건</x:v>
      </x:c>
      <x:c r="D8" s="99" t="str">
        <x:v>청년층 정규직 근로자 비율</x:v>
      </x:c>
      <x:c r="E8" s="98" t="str">
        <x:v>YFRR</x:v>
      </x:c>
      <x:c r="F8" s="98" t="str">
        <x:v>+</x:v>
      </x:c>
      <x:c r="G8" s="98" t="str">
        <x:v>유지</x:v>
      </x:c>
      <x:c r="H8" s="100" t="n">
        <x:v>0.043</x:v>
      </x:c>
      <x:c r="I8" s="100" t="n">
        <x:f>SUMIF($C$7:$C$34,C8,$H$7:$H$34)+SUMIF($H$49:$H$51,C8,$J$49:$J$51)</x:f>
        <x:v>0.102</x:v>
      </x:c>
      <x:c r="J8" s="100" t="n">
        <x:f>SUMIF($H$49:$H$51,C8,$J$49:$J$51)</x:f>
        <x:v>0</x:v>
      </x:c>
      <x:c r="K8" s="100" t="n">
        <x:f>I8-J8</x:f>
        <x:v>0.102</x:v>
      </x:c>
      <x:c r="L8" s="100" t="n">
        <x:f>IF(K8=0,0,H8*I8/K8)</x:f>
        <x:v>0.043</x:v>
      </x:c>
      <x:c r="M8" s="100" t="n">
        <x:f>IF($M$2=0,0,L8/$M$2)</x:f>
        <x:v>0.04308617234468936</x:v>
      </x:c>
      <x:c r="N8" s="101" t="n">
        <x:f>IF(SUMIF($C$7:$C$34,C8,$M$7:$M$34)=0,0,M8/SUMIF($C$7:$C$34,C8,$M$7:$M$34))</x:f>
        <x:v>0.42156862745098034</x:v>
      </x:c>
      <x:c r="O8" s="102" t="str"/>
    </x:row>
    <x:row r="9" ht="21" customHeight="1">
      <x:c r="A9" s="98" t="n">
        <x:v>3</x:v>
      </x:c>
      <x:c r="B9" s="99" t="str">
        <x:v>경제·고용·주거</x:v>
      </x:c>
      <x:c r="C9" s="99" t="str">
        <x:v>고용여건</x:v>
      </x:c>
      <x:c r="D9" s="99" t="str">
        <x:v>근로시간</x:v>
      </x:c>
      <x:c r="E9" s="98" t="str">
        <x:v>AWH</x:v>
      </x:c>
      <x:c r="F9" s="98" t="str">
        <x:v>-</x:v>
      </x:c>
      <x:c r="G9" s="98" t="str">
        <x:v>유지</x:v>
      </x:c>
      <x:c r="H9" s="100" t="n">
        <x:v>0.027</x:v>
      </x:c>
      <x:c r="I9" s="100" t="n">
        <x:f>SUMIF($C$7:$C$34,C9,$H$7:$H$34)+SUMIF($H$49:$H$51,C9,$J$49:$J$51)</x:f>
        <x:v>0.102</x:v>
      </x:c>
      <x:c r="J9" s="100" t="n">
        <x:f>SUMIF($H$49:$H$51,C9,$J$49:$J$51)</x:f>
        <x:v>0</x:v>
      </x:c>
      <x:c r="K9" s="100" t="n">
        <x:f>I9-J9</x:f>
        <x:v>0.102</x:v>
      </x:c>
      <x:c r="L9" s="100" t="n">
        <x:f>IF(K9=0,0,H9*I9/K9)</x:f>
        <x:v>0.027</x:v>
      </x:c>
      <x:c r="M9" s="100" t="n">
        <x:f>IF($M$2=0,0,L9/$M$2)</x:f>
        <x:v>0.027054108216432858</x:v>
      </x:c>
      <x:c r="N9" s="101" t="n">
        <x:f>IF(SUMIF($C$7:$C$34,C9,$M$7:$M$34)=0,0,M9/SUMIF($C$7:$C$34,C9,$M$7:$M$34))</x:f>
        <x:v>0.2647058823529412</x:v>
      </x:c>
      <x:c r="O9" s="102" t="str">
        <x:v>값이 높을수록 불리: 정규화 후 방향 반전</x:v>
      </x:c>
    </x:row>
    <x:row r="10" ht="21" customHeight="1">
      <x:c r="A10" s="98" t="n">
        <x:v>4</x:v>
      </x:c>
      <x:c r="B10" s="99" t="str">
        <x:v>경제·고용·주거</x:v>
      </x:c>
      <x:c r="C10" s="99" t="str">
        <x:v>주거 안정성</x:v>
      </x:c>
      <x:c r="D10" s="99" t="str">
        <x:v>주택가격</x:v>
      </x:c>
      <x:c r="E10" s="98" t="str">
        <x:v>APH</x:v>
      </x:c>
      <x:c r="F10" s="98" t="str">
        <x:v>-</x:v>
      </x:c>
      <x:c r="G10" s="98" t="str">
        <x:v>유지</x:v>
      </x:c>
      <x:c r="H10" s="100" t="n">
        <x:v>0.029</x:v>
      </x:c>
      <x:c r="I10" s="100" t="n">
        <x:f>SUMIF($C$7:$C$34,C10,$H$7:$H$34)+SUMIF($H$49:$H$51,C10,$J$49:$J$51)</x:f>
        <x:v>0.08399999999999999</x:v>
      </x:c>
      <x:c r="J10" s="100" t="n">
        <x:f>SUMIF($H$49:$H$51,C10,$J$49:$J$51)</x:f>
        <x:v>0</x:v>
      </x:c>
      <x:c r="K10" s="100" t="n">
        <x:f>I10-J10</x:f>
        <x:v>0.08399999999999999</x:v>
      </x:c>
      <x:c r="L10" s="100" t="n">
        <x:f>IF(K10=0,0,H10*I10/K10)</x:f>
        <x:v>0.029</x:v>
      </x:c>
      <x:c r="M10" s="100" t="n">
        <x:f>IF($M$2=0,0,L10/$M$2)</x:f>
        <x:v>0.02905811623246492</x:v>
      </x:c>
      <x:c r="N10" s="101" t="n">
        <x:f>IF(SUMIF($C$7:$C$34,C10,$M$7:$M$34)=0,0,M10/SUMIF($C$7:$C$34,C10,$M$7:$M$34))</x:f>
        <x:v>0.34523809523809523</x:v>
      </x:c>
      <x:c r="O10" s="102" t="str">
        <x:v>값이 높을수록 불리: 정규화 후 방향 반전</x:v>
      </x:c>
    </x:row>
    <x:row r="11" ht="21" customHeight="1">
      <x:c r="A11" s="98" t="n">
        <x:v>5</x:v>
      </x:c>
      <x:c r="B11" s="99" t="str">
        <x:v>경제·고용·주거</x:v>
      </x:c>
      <x:c r="C11" s="99" t="str">
        <x:v>주거 안정성</x:v>
      </x:c>
      <x:c r="D11" s="99" t="str">
        <x:v>자가점유비율</x:v>
      </x:c>
      <x:c r="E11" s="98" t="str">
        <x:v>OOR</x:v>
      </x:c>
      <x:c r="F11" s="98" t="str">
        <x:v>+</x:v>
      </x:c>
      <x:c r="G11" s="98" t="str">
        <x:v>유지</x:v>
      </x:c>
      <x:c r="H11" s="100" t="n">
        <x:v>0.017</x:v>
      </x:c>
      <x:c r="I11" s="100" t="n">
        <x:f>SUMIF($C$7:$C$34,C11,$H$7:$H$34)+SUMIF($H$49:$H$51,C11,$J$49:$J$51)</x:f>
        <x:v>0.08399999999999999</x:v>
      </x:c>
      <x:c r="J11" s="100" t="n">
        <x:f>SUMIF($H$49:$H$51,C11,$J$49:$J$51)</x:f>
        <x:v>0</x:v>
      </x:c>
      <x:c r="K11" s="100" t="n">
        <x:f>I11-J11</x:f>
        <x:v>0.08399999999999999</x:v>
      </x:c>
      <x:c r="L11" s="100" t="n">
        <x:f>IF(K11=0,0,H11*I11/K11)</x:f>
        <x:v>0.017</x:v>
      </x:c>
      <x:c r="M11" s="100" t="n">
        <x:f>IF($M$2=0,0,L11/$M$2)</x:f>
        <x:v>0.01703406813627254</x:v>
      </x:c>
      <x:c r="N11" s="101" t="n">
        <x:f>IF(SUMIF($C$7:$C$34,C11,$M$7:$M$34)=0,0,M11/SUMIF($C$7:$C$34,C11,$M$7:$M$34))</x:f>
        <x:v>0.2023809523809524</x:v>
      </x:c>
      <x:c r="O11" s="102" t="str"/>
    </x:row>
    <x:row r="12" ht="21" customHeight="1">
      <x:c r="A12" s="98" t="n">
        <x:v>6</x:v>
      </x:c>
      <x:c r="B12" s="99" t="str">
        <x:v>경제·고용·주거</x:v>
      </x:c>
      <x:c r="C12" s="99" t="str">
        <x:v>주거 안정성</x:v>
      </x:c>
      <x:c r="D12" s="99" t="str">
        <x:v>주거비</x:v>
      </x:c>
      <x:c r="E12" s="98" t="str">
        <x:v>HCC</x:v>
      </x:c>
      <x:c r="F12" s="98" t="str">
        <x:v>-</x:v>
      </x:c>
      <x:c r="G12" s="98" t="str">
        <x:v>유지</x:v>
      </x:c>
      <x:c r="H12" s="100" t="n">
        <x:v>0.038</x:v>
      </x:c>
      <x:c r="I12" s="100" t="n">
        <x:f>SUMIF($C$7:$C$34,C12,$H$7:$H$34)+SUMIF($H$49:$H$51,C12,$J$49:$J$51)</x:f>
        <x:v>0.08399999999999999</x:v>
      </x:c>
      <x:c r="J12" s="100" t="n">
        <x:f>SUMIF($H$49:$H$51,C12,$J$49:$J$51)</x:f>
        <x:v>0</x:v>
      </x:c>
      <x:c r="K12" s="100" t="n">
        <x:f>I12-J12</x:f>
        <x:v>0.08399999999999999</x:v>
      </x:c>
      <x:c r="L12" s="100" t="n">
        <x:f>IF(K12=0,0,H12*I12/K12)</x:f>
        <x:v>0.038</x:v>
      </x:c>
      <x:c r="M12" s="100" t="n">
        <x:f>IF($M$2=0,0,L12/$M$2)</x:f>
        <x:v>0.03807615230460921</x:v>
      </x:c>
      <x:c r="N12" s="101" t="n">
        <x:f>IF(SUMIF($C$7:$C$34,C12,$M$7:$M$34)=0,0,M12/SUMIF($C$7:$C$34,C12,$M$7:$M$34))</x:f>
        <x:v>0.4523809523809524</x:v>
      </x:c>
      <x:c r="O12" s="102" t="str">
        <x:v>값이 높을수록 불리: 정규화 후 방향 반전</x:v>
      </x:c>
    </x:row>
    <x:row r="13" ht="21" customHeight="1">
      <x:c r="A13" s="98" t="n">
        <x:v>7</x:v>
      </x:c>
      <x:c r="B13" s="99" t="str">
        <x:v>경제·고용·주거</x:v>
      </x:c>
      <x:c r="C13" s="99" t="str">
        <x:v>경제적 여건</x:v>
      </x:c>
      <x:c r="D13" s="99" t="str">
        <x:v>소득 만족도</x:v>
      </x:c>
      <x:c r="E13" s="98" t="str">
        <x:v>ISS</x:v>
      </x:c>
      <x:c r="F13" s="98" t="str">
        <x:v>+</x:v>
      </x:c>
      <x:c r="G13" s="98" t="str">
        <x:v>유지</x:v>
      </x:c>
      <x:c r="H13" s="100" t="n">
        <x:v>0.054</x:v>
      </x:c>
      <x:c r="I13" s="100" t="n">
        <x:f>SUMIF($C$7:$C$34,C13,$H$7:$H$34)+SUMIF($H$49:$H$51,C13,$J$49:$J$51)</x:f>
        <x:v>0.134</x:v>
      </x:c>
      <x:c r="J13" s="100" t="n">
        <x:f>SUMIF($H$49:$H$51,C13,$J$49:$J$51)</x:f>
        <x:v>0</x:v>
      </x:c>
      <x:c r="K13" s="100" t="n">
        <x:f>I13-J13</x:f>
        <x:v>0.134</x:v>
      </x:c>
      <x:c r="L13" s="100" t="n">
        <x:f>IF(K13=0,0,H13*I13/K13)</x:f>
        <x:v>0.054</x:v>
      </x:c>
      <x:c r="M13" s="100" t="n">
        <x:f>IF($M$2=0,0,L13/$M$2)</x:f>
        <x:v>0.054108216432865716</x:v>
      </x:c>
      <x:c r="N13" s="101" t="n">
        <x:f>IF(SUMIF($C$7:$C$34,C13,$M$7:$M$34)=0,0,M13/SUMIF($C$7:$C$34,C13,$M$7:$M$34))</x:f>
        <x:v>0.40298507462686567</x:v>
      </x:c>
      <x:c r="O13" s="102" t="str"/>
    </x:row>
    <x:row r="14" ht="21" customHeight="1">
      <x:c r="A14" s="98" t="n">
        <x:v>8</x:v>
      </x:c>
      <x:c r="B14" s="99" t="str">
        <x:v>경제·고용·주거</x:v>
      </x:c>
      <x:c r="C14" s="99" t="str">
        <x:v>경제적 여건</x:v>
      </x:c>
      <x:c r="D14" s="99" t="str">
        <x:v>소득 수준</x:v>
      </x:c>
      <x:c r="E14" s="98" t="str">
        <x:v>PINC</x:v>
      </x:c>
      <x:c r="F14" s="98" t="str">
        <x:v>+</x:v>
      </x:c>
      <x:c r="G14" s="98" t="str">
        <x:v>유지</x:v>
      </x:c>
      <x:c r="H14" s="100" t="n">
        <x:v>0.08</x:v>
      </x:c>
      <x:c r="I14" s="100" t="n">
        <x:f>SUMIF($C$7:$C$34,C14,$H$7:$H$34)+SUMIF($H$49:$H$51,C14,$J$49:$J$51)</x:f>
        <x:v>0.134</x:v>
      </x:c>
      <x:c r="J14" s="100" t="n">
        <x:f>SUMIF($H$49:$H$51,C14,$J$49:$J$51)</x:f>
        <x:v>0</x:v>
      </x:c>
      <x:c r="K14" s="100" t="n">
        <x:f>I14-J14</x:f>
        <x:v>0.134</x:v>
      </x:c>
      <x:c r="L14" s="100" t="n">
        <x:f>IF(K14=0,0,H14*I14/K14)</x:f>
        <x:v>0.08</x:v>
      </x:c>
      <x:c r="M14" s="100" t="n">
        <x:f>IF($M$2=0,0,L14/$M$2)</x:f>
        <x:v>0.08016032064128253</x:v>
      </x:c>
      <x:c r="N14" s="101" t="n">
        <x:f>IF(SUMIF($C$7:$C$34,C14,$M$7:$M$34)=0,0,M14/SUMIF($C$7:$C$34,C14,$M$7:$M$34))</x:f>
        <x:v>0.5970149253731343</x:v>
      </x:c>
      <x:c r="O14" s="102" t="str"/>
    </x:row>
    <x:row r="15" ht="21" customHeight="1">
      <x:c r="A15" s="98" t="n">
        <x:v>9</x:v>
      </x:c>
      <x:c r="B15" s="99" t="str">
        <x:v>가족·생활</x:v>
      </x:c>
      <x:c r="C15" s="99" t="str">
        <x:v>돌봄여건</x:v>
      </x:c>
      <x:c r="D15" s="99" t="str">
        <x:v>보육시설 보급률</x:v>
      </x:c>
      <x:c r="E15" s="98" t="str">
        <x:v>CFR</x:v>
      </x:c>
      <x:c r="F15" s="98" t="str">
        <x:v>+</x:v>
      </x:c>
      <x:c r="G15" s="98" t="str">
        <x:v>유지</x:v>
      </x:c>
      <x:c r="H15" s="100" t="n">
        <x:v>0.073</x:v>
      </x:c>
      <x:c r="I15" s="100" t="n">
        <x:f>SUMIF($C$7:$C$34,C15,$H$7:$H$34)+SUMIF($H$49:$H$51,C15,$J$49:$J$51)</x:f>
        <x:v>0.169</x:v>
      </x:c>
      <x:c r="J15" s="100" t="n">
        <x:f>SUMIF($H$49:$H$51,C15,$J$49:$J$51)</x:f>
        <x:v>0</x:v>
      </x:c>
      <x:c r="K15" s="100" t="n">
        <x:f>I15-J15</x:f>
        <x:v>0.169</x:v>
      </x:c>
      <x:c r="L15" s="100" t="n">
        <x:f>IF(K15=0,0,H15*I15/K15)</x:f>
        <x:v>0.073</x:v>
      </x:c>
      <x:c r="M15" s="100" t="n">
        <x:f>IF($M$2=0,0,L15/$M$2)</x:f>
        <x:v>0.07314629258517032</x:v>
      </x:c>
      <x:c r="N15" s="101" t="n">
        <x:f>IF(SUMIF($C$7:$C$34,C15,$M$7:$M$34)=0,0,M15/SUMIF($C$7:$C$34,C15,$M$7:$M$34))</x:f>
        <x:v>0.4319526627218935</x:v>
      </x:c>
      <x:c r="O15" s="102" t="str"/>
    </x:row>
    <x:row r="16" ht="21" customHeight="1">
      <x:c r="A16" s="98" t="n">
        <x:v>10</x:v>
      </x:c>
      <x:c r="B16" s="99" t="str">
        <x:v>가족·생활</x:v>
      </x:c>
      <x:c r="C16" s="99" t="str">
        <x:v>돌봄여건</x:v>
      </x:c>
      <x:c r="D16" s="99" t="str">
        <x:v>방과후 돌봄시설 보급도</x:v>
      </x:c>
      <x:c r="E16" s="98" t="str">
        <x:v>ACSR</x:v>
      </x:c>
      <x:c r="F16" s="98" t="str">
        <x:v>+</x:v>
      </x:c>
      <x:c r="G16" s="98" t="str">
        <x:v>유지</x:v>
      </x:c>
      <x:c r="H16" s="100" t="n">
        <x:v>0.058</x:v>
      </x:c>
      <x:c r="I16" s="100" t="n">
        <x:f>SUMIF($C$7:$C$34,C16,$H$7:$H$34)+SUMIF($H$49:$H$51,C16,$J$49:$J$51)</x:f>
        <x:v>0.169</x:v>
      </x:c>
      <x:c r="J16" s="100" t="n">
        <x:f>SUMIF($H$49:$H$51,C16,$J$49:$J$51)</x:f>
        <x:v>0</x:v>
      </x:c>
      <x:c r="K16" s="100" t="n">
        <x:f>I16-J16</x:f>
        <x:v>0.169</x:v>
      </x:c>
      <x:c r="L16" s="100" t="n">
        <x:f>IF(K16=0,0,H16*I16/K16)</x:f>
        <x:v>0.058</x:v>
      </x:c>
      <x:c r="M16" s="100" t="n">
        <x:f>IF($M$2=0,0,L16/$M$2)</x:f>
        <x:v>0.05811623246492984</x:v>
      </x:c>
      <x:c r="N16" s="101" t="n">
        <x:f>IF(SUMIF($C$7:$C$34,C16,$M$7:$M$34)=0,0,M16/SUMIF($C$7:$C$34,C16,$M$7:$M$34))</x:f>
        <x:v>0.3431952662721893</x:v>
      </x:c>
      <x:c r="O16" s="102" t="str"/>
    </x:row>
    <x:row r="17" ht="21" customHeight="1">
      <x:c r="A17" s="98" t="n">
        <x:v>11</x:v>
      </x:c>
      <x:c r="B17" s="99" t="str">
        <x:v>가족·생활</x:v>
      </x:c>
      <x:c r="C17" s="99" t="str">
        <x:v>돌봄여건</x:v>
      </x:c>
      <x:c r="D17" s="99" t="str">
        <x:v>사교육비 지출액</x:v>
      </x:c>
      <x:c r="E17" s="98" t="str">
        <x:v>PES</x:v>
      </x:c>
      <x:c r="F17" s="98" t="str">
        <x:v>-</x:v>
      </x:c>
      <x:c r="G17" s="98" t="str">
        <x:v>유지</x:v>
      </x:c>
      <x:c r="H17" s="100" t="n">
        <x:v>0.038</x:v>
      </x:c>
      <x:c r="I17" s="100" t="n">
        <x:f>SUMIF($C$7:$C$34,C17,$H$7:$H$34)+SUMIF($H$49:$H$51,C17,$J$49:$J$51)</x:f>
        <x:v>0.169</x:v>
      </x:c>
      <x:c r="J17" s="100" t="n">
        <x:f>SUMIF($H$49:$H$51,C17,$J$49:$J$51)</x:f>
        <x:v>0</x:v>
      </x:c>
      <x:c r="K17" s="100" t="n">
        <x:f>I17-J17</x:f>
        <x:v>0.169</x:v>
      </x:c>
      <x:c r="L17" s="100" t="n">
        <x:f>IF(K17=0,0,H17*I17/K17)</x:f>
        <x:v>0.038</x:v>
      </x:c>
      <x:c r="M17" s="100" t="n">
        <x:f>IF($M$2=0,0,L17/$M$2)</x:f>
        <x:v>0.03807615230460921</x:v>
      </x:c>
      <x:c r="N17" s="101" t="n">
        <x:f>IF(SUMIF($C$7:$C$34,C17,$M$7:$M$34)=0,0,M17/SUMIF($C$7:$C$34,C17,$M$7:$M$34))</x:f>
        <x:v>0.22485207100591717</x:v>
      </x:c>
      <x:c r="O17" s="102" t="str">
        <x:v>값이 높을수록 불리: 정규화 후 방향 반전</x:v>
      </x:c>
    </x:row>
    <x:row r="18" ht="21" customHeight="1">
      <x:c r="A18" s="98" t="n">
        <x:v>12</x:v>
      </x:c>
      <x:c r="B18" s="99" t="str">
        <x:v>가족·생활</x:v>
      </x:c>
      <x:c r="C18" s="99" t="str">
        <x:v>여가 인프라</x:v>
      </x:c>
      <x:c r="D18" s="99" t="str">
        <x:v>문화기반시설 보급도</x:v>
      </x:c>
      <x:c r="E18" s="98" t="str">
        <x:v>CIPR</x:v>
      </x:c>
      <x:c r="F18" s="98" t="str">
        <x:v>+</x:v>
      </x:c>
      <x:c r="G18" s="98" t="str">
        <x:v>유지</x:v>
      </x:c>
      <x:c r="H18" s="100" t="n">
        <x:v>0.011</x:v>
      </x:c>
      <x:c r="I18" s="100" t="n">
        <x:f>SUMIF($C$7:$C$34,C18,$H$7:$H$34)+SUMIF($H$49:$H$51,C18,$J$49:$J$51)</x:f>
        <x:v>0.027000000000000003</x:v>
      </x:c>
      <x:c r="J18" s="100" t="n">
        <x:f>SUMIF($H$49:$H$51,C18,$J$49:$J$51)</x:f>
        <x:v>0</x:v>
      </x:c>
      <x:c r="K18" s="100" t="n">
        <x:f>I18-J18</x:f>
        <x:v>0.027000000000000003</x:v>
      </x:c>
      <x:c r="L18" s="100" t="n">
        <x:f>IF(K18=0,0,H18*I18/K18)</x:f>
        <x:v>0.011</x:v>
      </x:c>
      <x:c r="M18" s="100" t="n">
        <x:f>IF($M$2=0,0,L18/$M$2)</x:f>
        <x:v>0.011022044088176348</x:v>
      </x:c>
      <x:c r="N18" s="101" t="n">
        <x:f>IF(SUMIF($C$7:$C$34,C18,$M$7:$M$34)=0,0,M18/SUMIF($C$7:$C$34,C18,$M$7:$M$34))</x:f>
        <x:v>0.40740740740740733</x:v>
      </x:c>
      <x:c r="O18" s="102" t="str"/>
    </x:row>
    <x:row r="19" ht="21" customHeight="1">
      <x:c r="A19" s="98" t="n">
        <x:v>13</x:v>
      </x:c>
      <x:c r="B19" s="99" t="str">
        <x:v>가족·생활</x:v>
      </x:c>
      <x:c r="C19" s="99" t="str">
        <x:v>여가 인프라</x:v>
      </x:c>
      <x:c r="D19" s="99" t="str">
        <x:v>도시공원 보급도</x:v>
      </x:c>
      <x:c r="E19" s="98" t="str">
        <x:v>UPSR</x:v>
      </x:c>
      <x:c r="F19" s="98" t="str">
        <x:v>+</x:v>
      </x:c>
      <x:c r="G19" s="98" t="str">
        <x:v>유지</x:v>
      </x:c>
      <x:c r="H19" s="100" t="n">
        <x:v>0.006</x:v>
      </x:c>
      <x:c r="I19" s="100" t="n">
        <x:f>SUMIF($C$7:$C$34,C19,$H$7:$H$34)+SUMIF($H$49:$H$51,C19,$J$49:$J$51)</x:f>
        <x:v>0.027000000000000003</x:v>
      </x:c>
      <x:c r="J19" s="100" t="n">
        <x:f>SUMIF($H$49:$H$51,C19,$J$49:$J$51)</x:f>
        <x:v>0</x:v>
      </x:c>
      <x:c r="K19" s="100" t="n">
        <x:f>I19-J19</x:f>
        <x:v>0.027000000000000003</x:v>
      </x:c>
      <x:c r="L19" s="100" t="n">
        <x:f>IF(K19=0,0,H19*I19/K19)</x:f>
        <x:v>0.006000000000000001</x:v>
      </x:c>
      <x:c r="M19" s="100" t="n">
        <x:f>IF($M$2=0,0,L19/$M$2)</x:f>
        <x:v>0.0060120240480961915</x:v>
      </x:c>
      <x:c r="N19" s="101" t="n">
        <x:f>IF(SUMIF($C$7:$C$34,C19,$M$7:$M$34)=0,0,M19/SUMIF($C$7:$C$34,C19,$M$7:$M$34))</x:f>
        <x:v>0.22222222222222224</x:v>
      </x:c>
      <x:c r="O19" s="102" t="str"/>
    </x:row>
    <x:row r="20" ht="21" customHeight="1">
      <x:c r="A20" s="98" t="n">
        <x:v>14</x:v>
      </x:c>
      <x:c r="B20" s="99" t="str">
        <x:v>가족·생활</x:v>
      </x:c>
      <x:c r="C20" s="99" t="str">
        <x:v>여가 인프라</x:v>
      </x:c>
      <x:c r="D20" s="99" t="str">
        <x:v>여가생활 만족도</x:v>
      </x:c>
      <x:c r="E20" s="98" t="str">
        <x:v>LLS</x:v>
      </x:c>
      <x:c r="F20" s="98" t="str">
        <x:v>+</x:v>
      </x:c>
      <x:c r="G20" s="98" t="str">
        <x:v>유지</x:v>
      </x:c>
      <x:c r="H20" s="100" t="n">
        <x:v>0.01</x:v>
      </x:c>
      <x:c r="I20" s="100" t="n">
        <x:f>SUMIF($C$7:$C$34,C20,$H$7:$H$34)+SUMIF($H$49:$H$51,C20,$J$49:$J$51)</x:f>
        <x:v>0.027000000000000003</x:v>
      </x:c>
      <x:c r="J20" s="100" t="n">
        <x:f>SUMIF($H$49:$H$51,C20,$J$49:$J$51)</x:f>
        <x:v>0</x:v>
      </x:c>
      <x:c r="K20" s="100" t="n">
        <x:f>I20-J20</x:f>
        <x:v>0.027000000000000003</x:v>
      </x:c>
      <x:c r="L20" s="100" t="n">
        <x:f>IF(K20=0,0,H20*I20/K20)</x:f>
        <x:v>0.01</x:v>
      </x:c>
      <x:c r="M20" s="100" t="n">
        <x:f>IF($M$2=0,0,L20/$M$2)</x:f>
        <x:v>0.010020040080160317</x:v>
      </x:c>
      <x:c r="N20" s="101" t="n">
        <x:f>IF(SUMIF($C$7:$C$34,C20,$M$7:$M$34)=0,0,M20/SUMIF($C$7:$C$34,C20,$M$7:$M$34))</x:f>
        <x:v>0.37037037037037035</x:v>
      </x:c>
      <x:c r="O20" s="102" t="str"/>
    </x:row>
    <x:row r="21" ht="21" customHeight="1">
      <x:c r="A21" s="98" t="n">
        <x:v>15</x:v>
      </x:c>
      <x:c r="B21" s="99" t="str">
        <x:v>가족·생활</x:v>
      </x:c>
      <x:c r="C21" s="99" t="str">
        <x:v>가사수행 격차</x:v>
      </x:c>
      <x:c r="D21" s="99" t="str">
        <x:v>가사노동 공동 참여도</x:v>
      </x:c>
      <x:c r="E21" s="98" t="str">
        <x:v>HPR</x:v>
      </x:c>
      <x:c r="F21" s="98" t="str">
        <x:v>+</x:v>
      </x:c>
      <x:c r="G21" s="98" t="str">
        <x:v>유지</x:v>
      </x:c>
      <x:c r="H21" s="100" t="n">
        <x:v>0.024</x:v>
      </x:c>
      <x:c r="I21" s="100" t="n">
        <x:f>SUMIF($C$7:$C$34,C21,$H$7:$H$34)+SUMIF($H$49:$H$51,C21,$J$49:$J$51)</x:f>
        <x:v>0.055</x:v>
      </x:c>
      <x:c r="J21" s="100" t="n">
        <x:f>SUMIF($H$49:$H$51,C21,$J$49:$J$51)</x:f>
        <x:v>0</x:v>
      </x:c>
      <x:c r="K21" s="100" t="n">
        <x:f>I21-J21</x:f>
        <x:v>0.055</x:v>
      </x:c>
      <x:c r="L21" s="100" t="n">
        <x:f>IF(K21=0,0,H21*I21/K21)</x:f>
        <x:v>0.024</x:v>
      </x:c>
      <x:c r="M21" s="100" t="n">
        <x:f>IF($M$2=0,0,L21/$M$2)</x:f>
        <x:v>0.024048096192384762</x:v>
      </x:c>
      <x:c r="N21" s="101" t="n">
        <x:f>IF(SUMIF($C$7:$C$34,C21,$M$7:$M$34)=0,0,M21/SUMIF($C$7:$C$34,C21,$M$7:$M$34))</x:f>
        <x:v>0.43636363636363634</x:v>
      </x:c>
      <x:c r="O21" s="102" t="str"/>
    </x:row>
    <x:row r="22" ht="21" customHeight="1">
      <x:c r="A22" s="98" t="n">
        <x:v>16</x:v>
      </x:c>
      <x:c r="B22" s="99" t="str">
        <x:v>가족·생활</x:v>
      </x:c>
      <x:c r="C22" s="99" t="str">
        <x:v>가사수행 격차</x:v>
      </x:c>
      <x:c r="D22" s="99" t="str">
        <x:v>돌봄노동 공동 참여도</x:v>
      </x:c>
      <x:c r="E22" s="98" t="str">
        <x:v>CPR</x:v>
      </x:c>
      <x:c r="F22" s="98" t="str">
        <x:v>+</x:v>
      </x:c>
      <x:c r="G22" s="98" t="str">
        <x:v>유지</x:v>
      </x:c>
      <x:c r="H22" s="100" t="n">
        <x:v>0.031</x:v>
      </x:c>
      <x:c r="I22" s="100" t="n">
        <x:f>SUMIF($C$7:$C$34,C22,$H$7:$H$34)+SUMIF($H$49:$H$51,C22,$J$49:$J$51)</x:f>
        <x:v>0.055</x:v>
      </x:c>
      <x:c r="J22" s="100" t="n">
        <x:f>SUMIF($H$49:$H$51,C22,$J$49:$J$51)</x:f>
        <x:v>0</x:v>
      </x:c>
      <x:c r="K22" s="100" t="n">
        <x:f>I22-J22</x:f>
        <x:v>0.055</x:v>
      </x:c>
      <x:c r="L22" s="100" t="n">
        <x:f>IF(K22=0,0,H22*I22/K22)</x:f>
        <x:v>0.031</x:v>
      </x:c>
      <x:c r="M22" s="100" t="n">
        <x:f>IF($M$2=0,0,L22/$M$2)</x:f>
        <x:v>0.031062124248496983</x:v>
      </x:c>
      <x:c r="N22" s="101" t="n">
        <x:f>IF(SUMIF($C$7:$C$34,C22,$M$7:$M$34)=0,0,M22/SUMIF($C$7:$C$34,C22,$M$7:$M$34))</x:f>
        <x:v>0.5636363636363636</x:v>
      </x:c>
      <x:c r="O22" s="102" t="str"/>
    </x:row>
    <x:row r="23" ht="21" customHeight="1">
      <x:c r="A23" s="98" t="n">
        <x:v>17</x:v>
      </x:c>
      <x:c r="B23" s="99" t="str">
        <x:v>보건·안전</x:v>
      </x:c>
      <x:c r="C23" s="99" t="str">
        <x:v>의료서비스 여건</x:v>
      </x:c>
      <x:c r="D23" s="99" t="str">
        <x:v>분만실 병상수 보급도</x:v>
      </x:c>
      <x:c r="E23" s="98" t="str">
        <x:v>DOCR</x:v>
      </x:c>
      <x:c r="F23" s="98" t="str">
        <x:v>+</x:v>
      </x:c>
      <x:c r="G23" s="98" t="str">
        <x:v>대체</x:v>
      </x:c>
      <x:c r="H23" s="100" t="n">
        <x:v>0.029</x:v>
      </x:c>
      <x:c r="I23" s="100" t="n">
        <x:f>SUMIF($C$7:$C$34,C23,$H$7:$H$34)+SUMIF($H$49:$H$51,C23,$J$49:$J$51)</x:f>
        <x:v>0.07200000000000001</x:v>
      </x:c>
      <x:c r="J23" s="100" t="n">
        <x:f>SUMIF($H$49:$H$51,C23,$J$49:$J$51)</x:f>
        <x:v>0.017</x:v>
      </x:c>
      <x:c r="K23" s="100" t="n">
        <x:f>I23-J23</x:f>
        <x:v>0.05500000000000001</x:v>
      </x:c>
      <x:c r="L23" s="100" t="n">
        <x:f>IF(K23=0,0,H23*I23/K23)</x:f>
        <x:v>0.037963636363636366</x:v>
      </x:c>
      <x:c r="M23" s="100" t="n">
        <x:f>IF($M$2=0,0,L23/$M$2)</x:f>
        <x:v>0.03803971579522681</x:v>
      </x:c>
      <x:c r="N23" s="101" t="n">
        <x:f>IF(SUMIF($C$7:$C$34,C23,$M$7:$M$34)=0,0,M23/SUMIF($C$7:$C$34,C23,$M$7:$M$34))</x:f>
        <x:v>0.5272727272727272</x:v>
      </x:c>
      <x:c r="O23" s="102" t="str">
        <x:v>원문 ‘분만 가능 산부인과 보급도’의 가중치 슬롯 유지</x:v>
      </x:c>
    </x:row>
    <x:row r="24" ht="21" customHeight="1">
      <x:c r="A24" s="98" t="n">
        <x:v>18</x:v>
      </x:c>
      <x:c r="B24" s="99" t="str">
        <x:v>보건·안전</x:v>
      </x:c>
      <x:c r="C24" s="99" t="str">
        <x:v>의료서비스 여건</x:v>
      </x:c>
      <x:c r="D24" s="99" t="str">
        <x:v>소아청소년과 전문인력 보급도</x:v>
      </x:c>
      <x:c r="E24" s="98" t="str">
        <x:v>PCCR</x:v>
      </x:c>
      <x:c r="F24" s="98" t="str">
        <x:v>+</x:v>
      </x:c>
      <x:c r="G24" s="98" t="str">
        <x:v>대체</x:v>
      </x:c>
      <x:c r="H24" s="100" t="n">
        <x:v>0.026</x:v>
      </x:c>
      <x:c r="I24" s="100" t="n">
        <x:f>SUMIF($C$7:$C$34,C24,$H$7:$H$34)+SUMIF($H$49:$H$51,C24,$J$49:$J$51)</x:f>
        <x:v>0.07200000000000001</x:v>
      </x:c>
      <x:c r="J24" s="100" t="n">
        <x:f>SUMIF($H$49:$H$51,C24,$J$49:$J$51)</x:f>
        <x:v>0.017</x:v>
      </x:c>
      <x:c r="K24" s="100" t="n">
        <x:f>I24-J24</x:f>
        <x:v>0.05500000000000001</x:v>
      </x:c>
      <x:c r="L24" s="100" t="n">
        <x:f>IF(K24=0,0,H24*I24/K24)</x:f>
        <x:v>0.034036363636363635</x:v>
      </x:c>
      <x:c r="M24" s="100" t="n">
        <x:f>IF($M$2=0,0,L24/$M$2)</x:f>
        <x:v>0.03410457278192748</x:v>
      </x:c>
      <x:c r="N24" s="101" t="n">
        <x:f>IF(SUMIF($C$7:$C$34,C24,$M$7:$M$34)=0,0,M24/SUMIF($C$7:$C$34,C24,$M$7:$M$34))</x:f>
        <x:v>0.47272727272727266</x:v>
      </x:c>
      <x:c r="O24" s="102" t="str">
        <x:v>원문 ‘소아청소년과 보급도’의 가중치 슬롯 유지</x:v>
      </x:c>
    </x:row>
    <x:row r="25" ht="21" customHeight="1">
      <x:c r="A25" s="98" t="n">
        <x:v>19</x:v>
      </x:c>
      <x:c r="B25" s="99" t="str">
        <x:v>보건·안전</x:v>
      </x:c>
      <x:c r="C25" s="99" t="str">
        <x:v>산후조리 여건</x:v>
      </x:c>
      <x:c r="D25" s="99" t="str">
        <x:v>산후조리원 보급도</x:v>
      </x:c>
      <x:c r="E25" s="98" t="str">
        <x:v>PPCS</x:v>
      </x:c>
      <x:c r="F25" s="98" t="str">
        <x:v>+</x:v>
      </x:c>
      <x:c r="G25" s="98" t="str">
        <x:v>유지</x:v>
      </x:c>
      <x:c r="H25" s="100" t="n">
        <x:v>0.014</x:v>
      </x:c>
      <x:c r="I25" s="100" t="n">
        <x:f>SUMIF($C$7:$C$34,C25,$H$7:$H$34)+SUMIF($H$49:$H$51,C25,$J$49:$J$51)</x:f>
        <x:v>0.037</x:v>
      </x:c>
      <x:c r="J25" s="100" t="n">
        <x:f>SUMIF($H$49:$H$51,C25,$J$49:$J$51)</x:f>
        <x:v>0</x:v>
      </x:c>
      <x:c r="K25" s="100" t="n">
        <x:f>I25-J25</x:f>
        <x:v>0.037</x:v>
      </x:c>
      <x:c r="L25" s="100" t="n">
        <x:f>IF(K25=0,0,H25*I25/K25)</x:f>
        <x:v>0.014</x:v>
      </x:c>
      <x:c r="M25" s="100" t="n">
        <x:f>IF($M$2=0,0,L25/$M$2)</x:f>
        <x:v>0.014028056112224444</x:v>
      </x:c>
      <x:c r="N25" s="101" t="n">
        <x:f>IF(SUMIF($C$7:$C$34,C25,$M$7:$M$34)=0,0,M25/SUMIF($C$7:$C$34,C25,$M$7:$M$34))</x:f>
        <x:v>0.37837837837837834</x:v>
      </x:c>
      <x:c r="O25" s="102" t="str"/>
    </x:row>
    <x:row r="26" ht="21" customHeight="1">
      <x:c r="A26" s="98" t="n">
        <x:v>20</x:v>
      </x:c>
      <x:c r="B26" s="99" t="str">
        <x:v>보건·안전</x:v>
      </x:c>
      <x:c r="C26" s="99" t="str">
        <x:v>산후조리 여건</x:v>
      </x:c>
      <x:c r="D26" s="99" t="str">
        <x:v>산후조리원 이용 요금</x:v>
      </x:c>
      <x:c r="E26" s="98" t="str">
        <x:v>PPCF</x:v>
      </x:c>
      <x:c r="F26" s="98" t="str">
        <x:v>-</x:v>
      </x:c>
      <x:c r="G26" s="98" t="str">
        <x:v>유지</x:v>
      </x:c>
      <x:c r="H26" s="100" t="n">
        <x:v>0.023</x:v>
      </x:c>
      <x:c r="I26" s="100" t="n">
        <x:f>SUMIF($C$7:$C$34,C26,$H$7:$H$34)+SUMIF($H$49:$H$51,C26,$J$49:$J$51)</x:f>
        <x:v>0.037</x:v>
      </x:c>
      <x:c r="J26" s="100" t="n">
        <x:f>SUMIF($H$49:$H$51,C26,$J$49:$J$51)</x:f>
        <x:v>0</x:v>
      </x:c>
      <x:c r="K26" s="100" t="n">
        <x:f>I26-J26</x:f>
        <x:v>0.037</x:v>
      </x:c>
      <x:c r="L26" s="100" t="n">
        <x:f>IF(K26=0,0,H26*I26/K26)</x:f>
        <x:v>0.023</x:v>
      </x:c>
      <x:c r="M26" s="100" t="n">
        <x:f>IF($M$2=0,0,L26/$M$2)</x:f>
        <x:v>0.02304609218436873</x:v>
      </x:c>
      <x:c r="N26" s="101" t="n">
        <x:f>IF(SUMIF($C$7:$C$34,C26,$M$7:$M$34)=0,0,M26/SUMIF($C$7:$C$34,C26,$M$7:$M$34))</x:f>
        <x:v>0.6216216216216216</x:v>
      </x:c>
      <x:c r="O26" s="102" t="str">
        <x:v>값이 높을수록 불리: 정규화 후 방향 반전</x:v>
      </x:c>
    </x:row>
    <x:row r="27" ht="21" customHeight="1">
      <x:c r="A27" s="98" t="n">
        <x:v>21</x:v>
      </x:c>
      <x:c r="B27" s="99" t="str">
        <x:v>보건·안전</x:v>
      </x:c>
      <x:c r="C27" s="99" t="str">
        <x:v>아동안전 수준</x:v>
      </x:c>
      <x:c r="D27" s="99" t="str">
        <x:v>어린이 교통사고 발생률</x:v>
      </x:c>
      <x:c r="E27" s="98" t="str">
        <x:v>TRA</x:v>
      </x:c>
      <x:c r="F27" s="98" t="str">
        <x:v>-</x:v>
      </x:c>
      <x:c r="G27" s="98" t="str">
        <x:v>유지</x:v>
      </x:c>
      <x:c r="H27" s="100" t="n">
        <x:v>0.012</x:v>
      </x:c>
      <x:c r="I27" s="100" t="n">
        <x:f>SUMIF($C$7:$C$34,C27,$H$7:$H$34)+SUMIF($H$49:$H$51,C27,$J$49:$J$51)</x:f>
        <x:v>0.043</x:v>
      </x:c>
      <x:c r="J27" s="100" t="n">
        <x:f>SUMIF($H$49:$H$51,C27,$J$49:$J$51)</x:f>
        <x:v>0.013</x:v>
      </x:c>
      <x:c r="K27" s="100" t="n">
        <x:f>I27-J27</x:f>
        <x:v>0.03</x:v>
      </x:c>
      <x:c r="L27" s="100" t="n">
        <x:f>IF(K27=0,0,H27*I27/K27)</x:f>
        <x:v>0.0172</x:v>
      </x:c>
      <x:c r="M27" s="100" t="n">
        <x:f>IF($M$2=0,0,L27/$M$2)</x:f>
        <x:v>0.017234468937875745</x:v>
      </x:c>
      <x:c r="N27" s="101" t="n">
        <x:f>IF(SUMIF($C$7:$C$34,C27,$M$7:$M$34)=0,0,M27/SUMIF($C$7:$C$34,C27,$M$7:$M$34))</x:f>
        <x:v>0.4</x:v>
      </x:c>
      <x:c r="O27" s="102" t="str">
        <x:v>값이 높을수록 불리: 정규화 후 방향 반전</x:v>
      </x:c>
    </x:row>
    <x:row r="28" ht="21" customHeight="1">
      <x:c r="A28" s="98" t="n">
        <x:v>22</x:v>
      </x:c>
      <x:c r="B28" s="99" t="str">
        <x:v>보건·안전</x:v>
      </x:c>
      <x:c r="C28" s="99" t="str">
        <x:v>아동안전 수준</x:v>
      </x:c>
      <x:c r="D28" s="99" t="str">
        <x:v>사회 안전에 대한 인식</x:v>
      </x:c>
      <x:c r="E28" s="98" t="str">
        <x:v>PSS</x:v>
      </x:c>
      <x:c r="F28" s="98" t="str">
        <x:v>+</x:v>
      </x:c>
      <x:c r="G28" s="98" t="str">
        <x:v>유지</x:v>
      </x:c>
      <x:c r="H28" s="100" t="n">
        <x:v>0.018</x:v>
      </x:c>
      <x:c r="I28" s="100" t="n">
        <x:f>SUMIF($C$7:$C$34,C28,$H$7:$H$34)+SUMIF($H$49:$H$51,C28,$J$49:$J$51)</x:f>
        <x:v>0.043</x:v>
      </x:c>
      <x:c r="J28" s="100" t="n">
        <x:f>SUMIF($H$49:$H$51,C28,$J$49:$J$51)</x:f>
        <x:v>0.013</x:v>
      </x:c>
      <x:c r="K28" s="100" t="n">
        <x:f>I28-J28</x:f>
        <x:v>0.03</x:v>
      </x:c>
      <x:c r="L28" s="100" t="n">
        <x:f>IF(K28=0,0,H28*I28/K28)</x:f>
        <x:v>0.025799999999999997</x:v>
      </x:c>
      <x:c r="M28" s="100" t="n">
        <x:f>IF($M$2=0,0,L28/$M$2)</x:f>
        <x:v>0.025851703406813614</x:v>
      </x:c>
      <x:c r="N28" s="101" t="n">
        <x:f>IF(SUMIF($C$7:$C$34,C28,$M$7:$M$34)=0,0,M28/SUMIF($C$7:$C$34,C28,$M$7:$M$34))</x:f>
        <x:v>0.6</x:v>
      </x:c>
      <x:c r="O28" s="102" t="str"/>
    </x:row>
    <x:row r="29" ht="21" customHeight="1">
      <x:c r="A29" s="98" t="n">
        <x:v>23</x:v>
      </x:c>
      <x:c r="B29" s="99" t="str">
        <x:v>사회·문화</x:v>
      </x:c>
      <x:c r="C29" s="99" t="str">
        <x:v>일·가정 양립 여건</x:v>
      </x:c>
      <x:c r="D29" s="99" t="str">
        <x:v>육아휴직 사용률</x:v>
      </x:c>
      <x:c r="E29" s="98" t="str">
        <x:v>PLR</x:v>
      </x:c>
      <x:c r="F29" s="98" t="str">
        <x:v>+</x:v>
      </x:c>
      <x:c r="G29" s="98" t="str">
        <x:v>유지</x:v>
      </x:c>
      <x:c r="H29" s="100" t="n">
        <x:v>0.069</x:v>
      </x:c>
      <x:c r="I29" s="100" t="n">
        <x:f>SUMIF($C$7:$C$34,C29,$H$7:$H$34)+SUMIF($H$49:$H$51,C29,$J$49:$J$51)</x:f>
        <x:v>0.14300000000000002</x:v>
      </x:c>
      <x:c r="J29" s="100" t="n">
        <x:f>SUMIF($H$49:$H$51,C29,$J$49:$J$51)</x:f>
        <x:v>0.044</x:v>
      </x:c>
      <x:c r="K29" s="100" t="n">
        <x:f>I29-J29</x:f>
        <x:v>0.09900000000000002</x:v>
      </x:c>
      <x:c r="L29" s="100" t="n">
        <x:f>IF(K29=0,0,H29*I29/K29)</x:f>
        <x:v>0.09966666666666667</x:v>
      </x:c>
      <x:c r="M29" s="100" t="n">
        <x:f>IF($M$2=0,0,L29/$M$2)</x:f>
        <x:v>0.09986639946559783</x:v>
      </x:c>
      <x:c r="N29" s="101" t="n">
        <x:f>IF(SUMIF($C$7:$C$34,C29,$M$7:$M$34)=0,0,M29/SUMIF($C$7:$C$34,C29,$M$7:$M$34))</x:f>
        <x:v>0.696969696969697</x:v>
      </x:c>
      <x:c r="O29" s="102" t="str"/>
    </x:row>
    <x:row r="30" ht="21" customHeight="1">
      <x:c r="A30" s="98" t="n">
        <x:v>24</x:v>
      </x:c>
      <x:c r="B30" s="99" t="str">
        <x:v>사회·문화</x:v>
      </x:c>
      <x:c r="C30" s="99" t="str">
        <x:v>일·가정 양립 여건</x:v>
      </x:c>
      <x:c r="D30" s="99" t="str">
        <x:v>가족친화인증기업 비율</x:v>
      </x:c>
      <x:c r="E30" s="98" t="str">
        <x:v>FCR</x:v>
      </x:c>
      <x:c r="F30" s="98" t="str">
        <x:v>+</x:v>
      </x:c>
      <x:c r="G30" s="98" t="str">
        <x:v>유지</x:v>
      </x:c>
      <x:c r="H30" s="100" t="n">
        <x:v>0.03</x:v>
      </x:c>
      <x:c r="I30" s="100" t="n">
        <x:f>SUMIF($C$7:$C$34,C30,$H$7:$H$34)+SUMIF($H$49:$H$51,C30,$J$49:$J$51)</x:f>
        <x:v>0.14300000000000002</x:v>
      </x:c>
      <x:c r="J30" s="100" t="n">
        <x:f>SUMIF($H$49:$H$51,C30,$J$49:$J$51)</x:f>
        <x:v>0.044</x:v>
      </x:c>
      <x:c r="K30" s="100" t="n">
        <x:f>I30-J30</x:f>
        <x:v>0.09900000000000002</x:v>
      </x:c>
      <x:c r="L30" s="100" t="n">
        <x:f>IF(K30=0,0,H30*I30/K30)</x:f>
        <x:v>0.04333333333333333</x:v>
      </x:c>
      <x:c r="M30" s="100" t="n">
        <x:f>IF($M$2=0,0,L30/$M$2)</x:f>
        <x:v>0.0434201736806947</x:v>
      </x:c>
      <x:c r="N30" s="101" t="n">
        <x:f>IF(SUMIF($C$7:$C$34,C30,$M$7:$M$34)=0,0,M30/SUMIF($C$7:$C$34,C30,$M$7:$M$34))</x:f>
        <x:v>0.303030303030303</x:v>
      </x:c>
      <x:c r="O30" s="102" t="str"/>
    </x:row>
    <x:row r="31" ht="21" customHeight="1">
      <x:c r="A31" s="98" t="n">
        <x:v>25</x:v>
      </x:c>
      <x:c r="B31" s="99" t="str">
        <x:v>사회·문화</x:v>
      </x:c>
      <x:c r="C31" s="99" t="str">
        <x:v>사회적 가치관</x:v>
      </x:c>
      <x:c r="D31" s="99" t="str">
        <x:v>결혼에 대한 인식</x:v>
      </x:c>
      <x:c r="E31" s="98" t="str">
        <x:v>POM</x:v>
      </x:c>
      <x:c r="F31" s="98" t="str">
        <x:v>+</x:v>
      </x:c>
      <x:c r="G31" s="98" t="str">
        <x:v>유지</x:v>
      </x:c>
      <x:c r="H31" s="100" t="n">
        <x:v>0.03</x:v>
      </x:c>
      <x:c r="I31" s="100" t="n">
        <x:f>SUMIF($C$7:$C$34,C31,$H$7:$H$34)+SUMIF($H$49:$H$51,C31,$J$49:$J$51)</x:f>
        <x:v>0.13199999999999998</x:v>
      </x:c>
      <x:c r="J31" s="100" t="n">
        <x:f>SUMIF($H$49:$H$51,C31,$J$49:$J$51)</x:f>
        <x:v>0</x:v>
      </x:c>
      <x:c r="K31" s="100" t="n">
        <x:f>I31-J31</x:f>
        <x:v>0.13199999999999998</x:v>
      </x:c>
      <x:c r="L31" s="100" t="n">
        <x:f>IF(K31=0,0,H31*I31/K31)</x:f>
        <x:v>0.03</x:v>
      </x:c>
      <x:c r="M31" s="100" t="n">
        <x:f>IF($M$2=0,0,L31/$M$2)</x:f>
        <x:v>0.03006012024048095</x:v>
      </x:c>
      <x:c r="N31" s="101" t="n">
        <x:f>IF(SUMIF($C$7:$C$34,C31,$M$7:$M$34)=0,0,M31/SUMIF($C$7:$C$34,C31,$M$7:$M$34))</x:f>
        <x:v>0.22727272727272724</x:v>
      </x:c>
      <x:c r="O31" s="102" t="str"/>
    </x:row>
    <x:row r="32" ht="21" customHeight="1">
      <x:c r="A32" s="98" t="n">
        <x:v>26</x:v>
      </x:c>
      <x:c r="B32" s="99" t="str">
        <x:v>사회·문화</x:v>
      </x:c>
      <x:c r="C32" s="99" t="str">
        <x:v>사회적 가치관</x:v>
      </x:c>
      <x:c r="D32" s="99" t="str">
        <x:v>출산에 대한 인식</x:v>
      </x:c>
      <x:c r="E32" s="98" t="str">
        <x:v>POC</x:v>
      </x:c>
      <x:c r="F32" s="98" t="str">
        <x:v>+</x:v>
      </x:c>
      <x:c r="G32" s="98" t="str">
        <x:v>유지</x:v>
      </x:c>
      <x:c r="H32" s="100" t="n">
        <x:v>0.052</x:v>
      </x:c>
      <x:c r="I32" s="100" t="n">
        <x:f>SUMIF($C$7:$C$34,C32,$H$7:$H$34)+SUMIF($H$49:$H$51,C32,$J$49:$J$51)</x:f>
        <x:v>0.13199999999999998</x:v>
      </x:c>
      <x:c r="J32" s="100" t="n">
        <x:f>SUMIF($H$49:$H$51,C32,$J$49:$J$51)</x:f>
        <x:v>0</x:v>
      </x:c>
      <x:c r="K32" s="100" t="n">
        <x:f>I32-J32</x:f>
        <x:v>0.13199999999999998</x:v>
      </x:c>
      <x:c r="L32" s="100" t="n">
        <x:f>IF(K32=0,0,H32*I32/K32)</x:f>
        <x:v>0.052</x:v>
      </x:c>
      <x:c r="M32" s="100" t="n">
        <x:f>IF($M$2=0,0,L32/$M$2)</x:f>
        <x:v>0.05210420841683365</x:v>
      </x:c>
      <x:c r="N32" s="101" t="n">
        <x:f>IF(SUMIF($C$7:$C$34,C32,$M$7:$M$34)=0,0,M32/SUMIF($C$7:$C$34,C32,$M$7:$M$34))</x:f>
        <x:v>0.3939393939393939</x:v>
      </x:c>
      <x:c r="O32" s="102" t="str"/>
    </x:row>
    <x:row r="33" ht="21" customHeight="1">
      <x:c r="A33" s="98" t="n">
        <x:v>27</x:v>
      </x:c>
      <x:c r="B33" s="99" t="str">
        <x:v>사회·문화</x:v>
      </x:c>
      <x:c r="C33" s="99" t="str">
        <x:v>사회적 가치관</x:v>
      </x:c>
      <x:c r="D33" s="99" t="str">
        <x:v>가사분담에 대한 성평등 인식</x:v>
      </x:c>
      <x:c r="E33" s="98" t="str">
        <x:v>GPEH</x:v>
      </x:c>
      <x:c r="F33" s="98" t="str">
        <x:v>+</x:v>
      </x:c>
      <x:c r="G33" s="98" t="str">
        <x:v>유지</x:v>
      </x:c>
      <x:c r="H33" s="100" t="n">
        <x:v>0.032</x:v>
      </x:c>
      <x:c r="I33" s="100" t="n">
        <x:f>SUMIF($C$7:$C$34,C33,$H$7:$H$34)+SUMIF($H$49:$H$51,C33,$J$49:$J$51)</x:f>
        <x:v>0.13199999999999998</x:v>
      </x:c>
      <x:c r="J33" s="100" t="n">
        <x:f>SUMIF($H$49:$H$51,C33,$J$49:$J$51)</x:f>
        <x:v>0</x:v>
      </x:c>
      <x:c r="K33" s="100" t="n">
        <x:f>I33-J33</x:f>
        <x:v>0.13199999999999998</x:v>
      </x:c>
      <x:c r="L33" s="100" t="n">
        <x:f>IF(K33=0,0,H33*I33/K33)</x:f>
        <x:v>0.032</x:v>
      </x:c>
      <x:c r="M33" s="100" t="n">
        <x:f>IF($M$2=0,0,L33/$M$2)</x:f>
        <x:v>0.032064128256513016</x:v>
      </x:c>
      <x:c r="N33" s="101" t="n">
        <x:f>IF(SUMIF($C$7:$C$34,C33,$M$7:$M$34)=0,0,M33/SUMIF($C$7:$C$34,C33,$M$7:$M$34))</x:f>
        <x:v>0.2424242424242424</x:v>
      </x:c>
      <x:c r="O33" s="102" t="str"/>
    </x:row>
    <x:row r="34" ht="21" customHeight="1">
      <x:c r="A34" s="98" t="n">
        <x:v>28</x:v>
      </x:c>
      <x:c r="B34" s="99" t="str">
        <x:v>사회·문화</x:v>
      </x:c>
      <x:c r="C34" s="99" t="str">
        <x:v>사회적 가치관</x:v>
      </x:c>
      <x:c r="D34" s="99" t="str">
        <x:v>사회경제적 지위에 대한 인식</x:v>
      </x:c>
      <x:c r="E34" s="98" t="str">
        <x:v>SESP</x:v>
      </x:c>
      <x:c r="F34" s="98" t="str">
        <x:v>+</x:v>
      </x:c>
      <x:c r="G34" s="98" t="str">
        <x:v>유지</x:v>
      </x:c>
      <x:c r="H34" s="100" t="n">
        <x:v>0.018</x:v>
      </x:c>
      <x:c r="I34" s="100" t="n">
        <x:f>SUMIF($C$7:$C$34,C34,$H$7:$H$34)+SUMIF($H$49:$H$51,C34,$J$49:$J$51)</x:f>
        <x:v>0.13199999999999998</x:v>
      </x:c>
      <x:c r="J34" s="100" t="n">
        <x:f>SUMIF($H$49:$H$51,C34,$J$49:$J$51)</x:f>
        <x:v>0</x:v>
      </x:c>
      <x:c r="K34" s="100" t="n">
        <x:f>I34-J34</x:f>
        <x:v>0.13199999999999998</x:v>
      </x:c>
      <x:c r="L34" s="100" t="n">
        <x:f>IF(K34=0,0,H34*I34/K34)</x:f>
        <x:v>0.018</x:v>
      </x:c>
      <x:c r="M34" s="100" t="n">
        <x:f>IF($M$2=0,0,L34/$M$2)</x:f>
        <x:v>0.01803607214428857</x:v>
      </x:c>
      <x:c r="N34" s="101" t="n">
        <x:f>IF(SUMIF($C$7:$C$34,C34,$M$7:$M$34)=0,0,M34/SUMIF($C$7:$C$34,C34,$M$7:$M$34))</x:f>
        <x:v>0.13636363636363635</x:v>
      </x:c>
      <x:c r="O34" s="102" t="str"/>
    </x:row>
    <x:row r="35">
      <x:c r="A35" s="103" t="str">
        <x:v>합계</x:v>
      </x:c>
      <x:c r="B35" s="103"/>
      <x:c r="C35" s="103"/>
      <x:c r="D35" s="103"/>
      <x:c r="E35" s="103"/>
      <x:c r="F35" s="103"/>
      <x:c r="G35" s="103"/>
      <x:c r="H35" s="104" t="n">
        <x:f>SUM(H7:H34)</x:f>
        <x:v>0.9240000000000004</x:v>
      </x:c>
      <x:c r="I35" s="104"/>
      <x:c r="J35" s="104"/>
      <x:c r="K35" s="104"/>
      <x:c r="L35" s="104" t="n">
        <x:f>SUM(L7:L34)</x:f>
        <x:v>0.9980000000000002</x:v>
      </x:c>
      <x:c r="M35" s="104" t="n">
        <x:f>SUM(M7:M34)</x:f>
        <x:v>0.9999999999999998</x:v>
      </x:c>
      <x:c r="N35" s="103"/>
      <x:c r="O35" s="103" t="str">
        <x:f>IF(ROUND(M35,8)=1,"정상","확인 필요")</x:f>
        <x:v>정상</x:v>
      </x:c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</x:row>
    <x:row r="38">
      <x:c r="A38" s="105" t="str">
        <x:v>세부영역별 조정 가중치 단순합</x:v>
      </x:c>
      <x:c r="B38" s="105"/>
      <x:c r="C38" s="105"/>
      <x:c r="D38" s="105"/>
      <x:c r="E38" s="105"/>
      <x:c r="F38" s="105"/>
      <x:c r="G38" s="86"/>
      <x:c r="H38" s="105" t="str">
        <x:v>대영역별 조정 가중치 합계</x:v>
      </x:c>
      <x:c r="I38" s="105"/>
      <x:c r="J38" s="105"/>
      <x:c r="K38" s="105"/>
      <x:c r="L38" s="86"/>
      <x:c r="M38" s="86"/>
      <x:c r="N38" s="86"/>
      <x:c r="O38" s="86"/>
    </x:row>
    <x:row r="39">
      <x:c r="A39" s="106" t="str">
        <x:v>세부영역</x:v>
      </x:c>
      <x:c r="B39" s="106" t="str">
        <x:v>대영역</x:v>
      </x:c>
      <x:c r="C39" s="106" t="str">
        <x:v>조정 가중치 합</x:v>
      </x:c>
      <x:c r="D39" s="106" t="str">
        <x:v>비중</x:v>
      </x:c>
      <x:c r="E39" s="106" t="str">
        <x:v>지표 수</x:v>
      </x:c>
      <x:c r="F39" s="106" t="str">
        <x:v>내부 비중 합</x:v>
      </x:c>
      <x:c r="G39" s="86"/>
      <x:c r="H39" s="106" t="str">
        <x:v>대영역</x:v>
      </x:c>
      <x:c r="I39" s="106" t="str">
        <x:v>조정 가중치 합</x:v>
      </x:c>
      <x:c r="J39" s="106" t="str">
        <x:v>비중</x:v>
      </x:c>
      <x:c r="K39" s="106" t="str">
        <x:v>지표 수</x:v>
      </x:c>
      <x:c r="L39" s="86"/>
      <x:c r="M39" s="86"/>
      <x:c r="N39" s="86"/>
      <x:c r="O39" s="86"/>
    </x:row>
    <x:row r="40" ht="23" customHeight="1">
      <x:c r="A40" s="107" t="str">
        <x:v>고용여건</x:v>
      </x:c>
      <x:c r="B40" s="107" t="str">
        <x:v>경제·고용·주거</x:v>
      </x:c>
      <x:c r="C40" s="108" t="n">
        <x:f>SUMIF($C$7:$C$34,A40,$M$7:$M$34)</x:f>
        <x:v>0.10220440881763523</x:v>
      </x:c>
      <x:c r="D40" s="108" t="n">
        <x:f>C40</x:f>
        <x:v>0.10220440881763523</x:v>
      </x:c>
      <x:c r="E40" s="107" t="n">
        <x:f>COUNTIF($C$7:$C$34,A40)</x:f>
        <x:v>3</x:v>
      </x:c>
      <x:c r="F40" s="109" t="n">
        <x:f>SUMIF($C$7:$C$34,A40,$N$7:$N$34)</x:f>
        <x:v>1</x:v>
      </x:c>
      <x:c r="G40" s="86"/>
      <x:c r="H40" s="107" t="str">
        <x:v>경제·고용·주거</x:v>
      </x:c>
      <x:c r="I40" s="108" t="n">
        <x:f>SUMIF($B$7:$B$34,H40,$M$7:$M$34)</x:f>
        <x:v>0.32064128256513014</x:v>
      </x:c>
      <x:c r="J40" s="108" t="n">
        <x:f>I40</x:f>
        <x:v>0.32064128256513014</x:v>
      </x:c>
      <x:c r="K40" s="107" t="n">
        <x:f>COUNTIF($B$7:$B$34,H40)</x:f>
        <x:v>8</x:v>
      </x:c>
      <x:c r="L40" s="86"/>
      <x:c r="M40" s="86"/>
      <x:c r="N40" s="86"/>
      <x:c r="O40" s="86"/>
    </x:row>
    <x:row r="41" ht="23" customHeight="1">
      <x:c r="A41" s="110" t="str">
        <x:v>주거 안정성</x:v>
      </x:c>
      <x:c r="B41" s="110" t="str">
        <x:v>경제·고용·주거</x:v>
      </x:c>
      <x:c r="C41" s="111" t="n">
        <x:f>SUMIF($C$7:$C$34,A41,$M$7:$M$34)</x:f>
        <x:v>0.08416833667334667</x:v>
      </x:c>
      <x:c r="D41" s="111" t="n">
        <x:f>C41</x:f>
        <x:v>0.08416833667334667</x:v>
      </x:c>
      <x:c r="E41" s="110" t="n">
        <x:f>COUNTIF($C$7:$C$34,A41)</x:f>
        <x:v>3</x:v>
      </x:c>
      <x:c r="F41" s="112" t="n">
        <x:f>SUMIF($C$7:$C$34,A41,$N$7:$N$34)</x:f>
        <x:v>1</x:v>
      </x:c>
      <x:c r="G41" s="86"/>
      <x:c r="H41" s="110" t="str">
        <x:v>가족·생활</x:v>
      </x:c>
      <x:c r="I41" s="111" t="n">
        <x:f>SUMIF($B$7:$B$34,H41,$M$7:$M$34)</x:f>
        <x:v>0.25150300601202397</x:v>
      </x:c>
      <x:c r="J41" s="111" t="n">
        <x:f>I41</x:f>
        <x:v>0.25150300601202397</x:v>
      </x:c>
      <x:c r="K41" s="110" t="n">
        <x:f>COUNTIF($B$7:$B$34,H41)</x:f>
        <x:v>8</x:v>
      </x:c>
      <x:c r="L41" s="86"/>
      <x:c r="M41" s="86"/>
      <x:c r="N41" s="86"/>
      <x:c r="O41" s="86"/>
    </x:row>
    <x:row r="42" ht="23" customHeight="1">
      <x:c r="A42" s="110" t="str">
        <x:v>경제적 여건</x:v>
      </x:c>
      <x:c r="B42" s="110" t="str">
        <x:v>경제·고용·주거</x:v>
      </x:c>
      <x:c r="C42" s="111" t="n">
        <x:f>SUMIF($C$7:$C$34,A42,$M$7:$M$34)</x:f>
        <x:v>0.13426853707414826</x:v>
      </x:c>
      <x:c r="D42" s="111" t="n">
        <x:f>C42</x:f>
        <x:v>0.13426853707414826</x:v>
      </x:c>
      <x:c r="E42" s="110" t="n">
        <x:f>COUNTIF($C$7:$C$34,A42)</x:f>
        <x:v>2</x:v>
      </x:c>
      <x:c r="F42" s="112" t="n">
        <x:f>SUMIF($C$7:$C$34,A42,$N$7:$N$34)</x:f>
        <x:v>1</x:v>
      </x:c>
      <x:c r="G42" s="86"/>
      <x:c r="H42" s="110" t="str">
        <x:v>보건·안전</x:v>
      </x:c>
      <x:c r="I42" s="111" t="n">
        <x:f>SUMIF($B$7:$B$34,H42,$M$7:$M$34)</x:f>
        <x:v>0.15230460921843683</x:v>
      </x:c>
      <x:c r="J42" s="111" t="n">
        <x:f>I42</x:f>
        <x:v>0.15230460921843683</x:v>
      </x:c>
      <x:c r="K42" s="110" t="n">
        <x:f>COUNTIF($B$7:$B$34,H42)</x:f>
        <x:v>6</x:v>
      </x:c>
      <x:c r="L42" s="86"/>
      <x:c r="M42" s="86"/>
      <x:c r="N42" s="86"/>
      <x:c r="O42" s="86"/>
    </x:row>
    <x:row r="43" ht="23" customHeight="1">
      <x:c r="A43" s="110" t="str">
        <x:v>돌봄여건</x:v>
      </x:c>
      <x:c r="B43" s="110" t="str">
        <x:v>가족·생활</x:v>
      </x:c>
      <x:c r="C43" s="111" t="n">
        <x:f>SUMIF($C$7:$C$34,A43,$M$7:$M$34)</x:f>
        <x:v>0.16933867735470937</x:v>
      </x:c>
      <x:c r="D43" s="111" t="n">
        <x:f>C43</x:f>
        <x:v>0.16933867735470937</x:v>
      </x:c>
      <x:c r="E43" s="110" t="n">
        <x:f>COUNTIF($C$7:$C$34,A43)</x:f>
        <x:v>3</x:v>
      </x:c>
      <x:c r="F43" s="112" t="n">
        <x:f>SUMIF($C$7:$C$34,A43,$N$7:$N$34)</x:f>
        <x:v>1</x:v>
      </x:c>
      <x:c r="G43" s="86"/>
      <x:c r="H43" s="113" t="str">
        <x:v>사회·문화</x:v>
      </x:c>
      <x:c r="I43" s="114" t="n">
        <x:f>SUMIF($B$7:$B$34,H43,$M$7:$M$34)</x:f>
        <x:v>0.27555110220440876</x:v>
      </x:c>
      <x:c r="J43" s="114" t="n">
        <x:f>I43</x:f>
        <x:v>0.27555110220440876</x:v>
      </x:c>
      <x:c r="K43" s="113" t="n">
        <x:f>COUNTIF($B$7:$B$34,H43)</x:f>
        <x:v>6</x:v>
      </x:c>
      <x:c r="L43" s="86"/>
      <x:c r="M43" s="86"/>
      <x:c r="N43" s="86"/>
      <x:c r="O43" s="86"/>
    </x:row>
    <x:row r="44" ht="23" customHeight="1">
      <x:c r="A44" s="110" t="str">
        <x:v>여가 인프라</x:v>
      </x:c>
      <x:c r="B44" s="110" t="str">
        <x:v>가족·생활</x:v>
      </x:c>
      <x:c r="C44" s="111" t="n">
        <x:f>SUMIF($C$7:$C$34,A44,$M$7:$M$34)</x:f>
        <x:v>0.027054108216432858</x:v>
      </x:c>
      <x:c r="D44" s="111" t="n">
        <x:f>C44</x:f>
        <x:v>0.027054108216432858</x:v>
      </x:c>
      <x:c r="E44" s="110" t="n">
        <x:f>COUNTIF($C$7:$C$34,A44)</x:f>
        <x:v>3</x:v>
      </x:c>
      <x:c r="F44" s="112" t="n">
        <x:f>SUMIF($C$7:$C$34,A44,$N$7:$N$34)</x:f>
        <x:v>0.9999999999999999</x:v>
      </x:c>
      <x:c r="G44" s="86"/>
      <x:c r="H44" s="103" t="str">
        <x:v>전체</x:v>
      </x:c>
      <x:c r="I44" s="115" t="n">
        <x:f>SUM(I40:I43)</x:f>
        <x:v>0.9999999999999998</x:v>
      </x:c>
      <x:c r="J44" s="115" t="n">
        <x:f>SUM(J40:J43)</x:f>
        <x:v>0.9999999999999998</x:v>
      </x:c>
      <x:c r="K44" s="103" t="n">
        <x:f>SUM(K40:K43)</x:f>
        <x:v>28</x:v>
      </x:c>
      <x:c r="L44" s="86"/>
      <x:c r="M44" s="86"/>
      <x:c r="N44" s="86"/>
      <x:c r="O44" s="86"/>
    </x:row>
    <x:row r="45" ht="23" customHeight="1">
      <x:c r="A45" s="110" t="str">
        <x:v>가사수행 격차</x:v>
      </x:c>
      <x:c r="B45" s="110" t="str">
        <x:v>가족·생활</x:v>
      </x:c>
      <x:c r="C45" s="111" t="n">
        <x:f>SUMIF($C$7:$C$34,A45,$M$7:$M$34)</x:f>
        <x:v>0.05511022044088175</x:v>
      </x:c>
      <x:c r="D45" s="111" t="n">
        <x:f>C45</x:f>
        <x:v>0.05511022044088175</x:v>
      </x:c>
      <x:c r="E45" s="110" t="n">
        <x:f>COUNTIF($C$7:$C$34,A45)</x:f>
        <x:v>2</x:v>
      </x:c>
      <x:c r="F45" s="112" t="n">
        <x:f>SUMIF($C$7:$C$34,A45,$N$7:$N$34)</x:f>
        <x:v>1</x:v>
      </x:c>
      <x:c r="G45" s="86"/>
      <x:c r="H45" s="86"/>
      <x:c r="I45" s="86"/>
      <x:c r="J45" s="86"/>
      <x:c r="K45" s="86"/>
      <x:c r="L45" s="86"/>
      <x:c r="M45" s="86"/>
      <x:c r="N45" s="86"/>
      <x:c r="O45" s="86"/>
    </x:row>
    <x:row r="46" ht="23" customHeight="1">
      <x:c r="A46" s="110" t="str">
        <x:v>의료서비스 여건</x:v>
      </x:c>
      <x:c r="B46" s="110" t="str">
        <x:v>보건·안전</x:v>
      </x:c>
      <x:c r="C46" s="111" t="n">
        <x:f>SUMIF($C$7:$C$34,A46,$M$7:$M$34)</x:f>
        <x:v>0.0721442885771543</x:v>
      </x:c>
      <x:c r="D46" s="111" t="n">
        <x:f>C46</x:f>
        <x:v>0.0721442885771543</x:v>
      </x:c>
      <x:c r="E46" s="110" t="n">
        <x:f>COUNTIF($C$7:$C$34,A46)</x:f>
        <x:v>2</x:v>
      </x:c>
      <x:c r="F46" s="112" t="n">
        <x:f>SUMIF($C$7:$C$34,A46,$N$7:$N$34)</x:f>
        <x:v>0.9999999999999999</x:v>
      </x:c>
      <x:c r="G46" s="86"/>
      <x:c r="H46" s="86"/>
      <x:c r="I46" s="86"/>
      <x:c r="J46" s="86"/>
      <x:c r="K46" s="86"/>
      <x:c r="L46" s="86"/>
      <x:c r="M46" s="86"/>
      <x:c r="N46" s="86"/>
      <x:c r="O46" s="86"/>
    </x:row>
    <x:row r="47" ht="23" customHeight="1">
      <x:c r="A47" s="110" t="str">
        <x:v>산후조리 여건</x:v>
      </x:c>
      <x:c r="B47" s="110" t="str">
        <x:v>보건·안전</x:v>
      </x:c>
      <x:c r="C47" s="111" t="n">
        <x:f>SUMIF($C$7:$C$34,A47,$M$7:$M$34)</x:f>
        <x:v>0.037074148296593175</x:v>
      </x:c>
      <x:c r="D47" s="111" t="n">
        <x:f>C47</x:f>
        <x:v>0.037074148296593175</x:v>
      </x:c>
      <x:c r="E47" s="110" t="n">
        <x:f>COUNTIF($C$7:$C$34,A47)</x:f>
        <x:v>2</x:v>
      </x:c>
      <x:c r="F47" s="112" t="n">
        <x:f>SUMIF($C$7:$C$34,A47,$N$7:$N$34)</x:f>
        <x:v>1</x:v>
      </x:c>
      <x:c r="G47" s="86"/>
      <x:c r="H47" s="105" t="str">
        <x:v>삭제 지표 원자료 및 근거</x:v>
      </x:c>
      <x:c r="I47" s="105"/>
      <x:c r="J47" s="105"/>
      <x:c r="K47" s="105"/>
      <x:c r="L47" s="86"/>
      <x:c r="M47" s="86"/>
      <x:c r="N47" s="86"/>
      <x:c r="O47" s="86"/>
    </x:row>
    <x:row r="48" ht="23" customHeight="1">
      <x:c r="A48" s="110" t="str">
        <x:v>아동안전 수준</x:v>
      </x:c>
      <x:c r="B48" s="110" t="str">
        <x:v>보건·안전</x:v>
      </x:c>
      <x:c r="C48" s="111" t="n">
        <x:f>SUMIF($C$7:$C$34,A48,$M$7:$M$34)</x:f>
        <x:v>0.04308617234468936</x:v>
      </x:c>
      <x:c r="D48" s="111" t="n">
        <x:f>C48</x:f>
        <x:v>0.04308617234468936</x:v>
      </x:c>
      <x:c r="E48" s="110" t="n">
        <x:f>COUNTIF($C$7:$C$34,A48)</x:f>
        <x:v>2</x:v>
      </x:c>
      <x:c r="F48" s="112" t="n">
        <x:f>SUMIF($C$7:$C$34,A48,$N$7:$N$34)</x:f>
        <x:v>1</x:v>
      </x:c>
      <x:c r="G48" s="86"/>
      <x:c r="H48" s="106" t="str">
        <x:v>세부영역</x:v>
      </x:c>
      <x:c r="I48" s="106" t="str">
        <x:v>삭제 지표</x:v>
      </x:c>
      <x:c r="J48" s="106" t="str">
        <x:v>원문 가중치</x:v>
      </x:c>
      <x:c r="K48" s="106" t="str">
        <x:v>제외 근거</x:v>
      </x:c>
      <x:c r="L48" s="86"/>
      <x:c r="M48" s="86"/>
      <x:c r="N48" s="86"/>
      <x:c r="O48" s="86"/>
    </x:row>
    <x:row r="49" ht="23" customHeight="1">
      <x:c r="A49" s="110" t="str">
        <x:v>일·가정 양립 여건</x:v>
      </x:c>
      <x:c r="B49" s="110" t="str">
        <x:v>사회·문화</x:v>
      </x:c>
      <x:c r="C49" s="111" t="n">
        <x:f>SUMIF($C$7:$C$34,A49,$M$7:$M$34)</x:f>
        <x:v>0.14328657314629253</x:v>
      </x:c>
      <x:c r="D49" s="111" t="n">
        <x:f>C49</x:f>
        <x:v>0.14328657314629253</x:v>
      </x:c>
      <x:c r="E49" s="110" t="n">
        <x:f>COUNTIF($C$7:$C$34,A49)</x:f>
        <x:v>2</x:v>
      </x:c>
      <x:c r="F49" s="112" t="n">
        <x:f>SUMIF($C$7:$C$34,A49,$N$7:$N$34)</x:f>
        <x:v>1</x:v>
      </x:c>
      <x:c r="G49" s="86"/>
      <x:c r="H49" s="116" t="str">
        <x:v>의료서비스 여건</x:v>
      </x:c>
      <x:c r="I49" s="116" t="str">
        <x:v>난임시술기관 보급도</x:v>
      </x:c>
      <x:c r="J49" s="117" t="n">
        <x:v>0.017</x:v>
      </x:c>
      <x:c r="K49" s="116" t="str">
        <x:v>전국·시계열 자료의 안정적 구축이 어려워 제외</x:v>
      </x:c>
      <x:c r="L49" s="86"/>
      <x:c r="M49" s="86"/>
      <x:c r="N49" s="86"/>
      <x:c r="O49" s="86"/>
    </x:row>
    <x:row r="50" ht="23" customHeight="1">
      <x:c r="A50" s="113" t="str">
        <x:v>사회적 가치관</x:v>
      </x:c>
      <x:c r="B50" s="113" t="str">
        <x:v>사회·문화</x:v>
      </x:c>
      <x:c r="C50" s="114" t="n">
        <x:f>SUMIF($C$7:$C$34,A50,$M$7:$M$34)</x:f>
        <x:v>0.1322645290581162</x:v>
      </x:c>
      <x:c r="D50" s="114" t="n">
        <x:f>C50</x:f>
        <x:v>0.1322645290581162</x:v>
      </x:c>
      <x:c r="E50" s="113" t="n">
        <x:f>COUNTIF($C$7:$C$34,A50)</x:f>
        <x:v>4</x:v>
      </x:c>
      <x:c r="F50" s="118" t="n">
        <x:f>SUMIF($C$7:$C$34,A50,$N$7:$N$34)</x:f>
        <x:v>0.9999999999999999</x:v>
      </x:c>
      <x:c r="G50" s="86"/>
      <x:c r="H50" s="119" t="str">
        <x:v>아동안전 수준</x:v>
      </x:c>
      <x:c r="I50" s="119" t="str">
        <x:v>학교폭력 발생률</x:v>
      </x:c>
      <x:c r="J50" s="120" t="n">
        <x:v>0.013</x:v>
      </x:c>
      <x:c r="K50" s="119" t="str">
        <x:v>전국·시계열 일관 자료 구축 한계로 제외</x:v>
      </x:c>
      <x:c r="L50" s="86"/>
      <x:c r="M50" s="86"/>
      <x:c r="N50" s="86"/>
      <x:c r="O50" s="86"/>
    </x:row>
    <x:row r="51" ht="23" customHeight="1">
      <x:c r="A51" s="103" t="str">
        <x:v>전체</x:v>
      </x:c>
      <x:c r="B51" s="103"/>
      <x:c r="C51" s="115" t="n">
        <x:f>SUM(C40:C50)</x:f>
        <x:v>0.9999999999999998</x:v>
      </x:c>
      <x:c r="D51" s="115" t="n">
        <x:f>SUM(D40:D50)</x:f>
        <x:v>0.9999999999999998</x:v>
      </x:c>
      <x:c r="E51" s="103" t="n">
        <x:f>SUM(E40:E50)</x:f>
        <x:v>28</x:v>
      </x:c>
      <x:c r="F51" s="103"/>
      <x:c r="G51" s="86"/>
      <x:c r="H51" s="121" t="str">
        <x:v>일·가정 양립 여건</x:v>
      </x:c>
      <x:c r="I51" s="121" t="str">
        <x:v>저출생 대응 예산액</x:v>
      </x:c>
      <x:c r="J51" s="122" t="n">
        <x:v>0.044</x:v>
      </x:c>
      <x:c r="K51" s="121" t="str">
        <x:v>재정대응지수와 중복되어 순환 문제를 피하기 위해 제외</x:v>
      </x:c>
      <x:c r="L51" s="86"/>
      <x:c r="M51" s="86"/>
      <x:c r="N51" s="86"/>
      <x:c r="O51" s="86"/>
    </x:row>
  </x:sheetData>
  <x:mergeCells>
    <x:mergeCell ref="A1:O1"/>
    <x:mergeCell ref="A2:J2"/>
    <x:mergeCell ref="A3:J3"/>
    <x:mergeCell ref="A4:J4"/>
    <x:mergeCell ref="A38:F38"/>
    <x:mergeCell ref="H38:K38"/>
    <x:mergeCell ref="H47:K47"/>
  </x:mergeCells>
  <x:conditionalFormatting sqref="O4:O4">
    <x:cfRule type="containsText" dxfId="4" priority="1" operator="containsText" text="통과"/>
    <x:cfRule type="containsText" dxfId="5" priority="2" operator="containsText" text="확인 필요"/>
  </x:conditionalFormatting>
  <x:conditionalFormatting sqref="G7:G34">
    <x:cfRule type="containsText" dxfId="6" priority="3" operator="containsText" text="대체"/>
  </x:conditionalFormatting>
  <x:conditionalFormatting sqref="F7:F34">
    <x:cfRule type="containsText" dxfId="7" priority="4" operator="containsText" text="-"/>
  </x:conditionalFormatting>
  <x:conditionalFormatting sqref="M7:M34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{5B4E9FC6-24F1-DCEB-47F5-E62CCB815320}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ccb0bee32a24c2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5B4E9FC6-24F1-DCEB-47F5-E62CCB815320}">
            <x14:dataBar gradient="1">
              <x14:cfvo type="min"/>
              <x14:cfvo type="max"/>
              <x14:fillColor rgb="FF5B9BD5"/>
            </x14:dataBar>
          </x14:cfRule>
          <xm:sqref>M7:M34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0" hidden="0" customWidth="1"/>
    <x:col min="4" max="4" width="32" hidden="0" customWidth="1"/>
    <x:col min="5" max="5" width="10" hidden="0" customWidth="1"/>
    <x:col min="6" max="6" width="8" hidden="0" customWidth="1"/>
    <x:col min="7" max="7" width="10" hidden="0" customWidth="1"/>
    <x:col min="8" max="8" width="15" hidden="0" customWidth="1"/>
    <x:col min="9" max="9" width="17" hidden="0" customWidth="1"/>
    <x:col min="10" max="10" width="14" hidden="0" customWidth="1"/>
    <x:col min="11" max="11" width="14" hidden="0" customWidth="1"/>
    <x:col min="12" max="12" width="17" hidden="0" customWidth="1"/>
    <x:col min="13" max="13" width="17" hidden="0" customWidth="1"/>
    <x:col min="14" max="14" width="18" hidden="0" customWidth="1"/>
    <x:col min="15" max="15" width="40" hidden="0" customWidth="1"/>
  </x:cols>
  <x:sheetData>
    <x:row r="1" ht="30" customHeight="1">
      <x:c r="A1" s="84" t="str">
        <x:v>최종 가중치 기준 조정안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</x:row>
    <x:row r="2" ht="24" customHeight="1">
      <x:c r="A2" s="85" t="str">
        <x:v>원 연구의 최종 가중치는 엔트로피와 AHP를 50%씩 결합한 표시값입니다.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6"/>
      <x:c r="L2" s="87" t="str">
        <x:v>원문 표시값 합</x:v>
      </x:c>
      <x:c r="M2" s="88" t="n">
        <x:f>SUM(H7:H34)+SUM(J49:J51)</x:f>
        <x:v>1.0070000000000003</x:v>
      </x:c>
      <x:c r="N2" s="89" t="str">
        <x:v>최종 조정 합</x:v>
      </x:c>
      <x:c r="O2" s="88" t="n">
        <x:f>SUM(M7:M34)</x:f>
        <x:v>0.9999999999999997</x:v>
      </x:c>
    </x:row>
    <x:row r="3" ht="24" customHeight="1">
      <x:c r="A3" s="85" t="str">
        <x:v>조정 규칙: 삭제 3개 지표의 가중치를 같은 세부영역의 잔존지표에 원래 비율대로 재배분한 뒤, 전체 합이 1이 되도록 정규화합니다.</x:v>
      </x:c>
      <x:c r="B3" s="85"/>
      <x:c r="C3" s="85"/>
      <x:c r="D3" s="85"/>
      <x:c r="E3" s="85"/>
      <x:c r="F3" s="85"/>
      <x:c r="G3" s="85"/>
      <x:c r="H3" s="85"/>
      <x:c r="I3" s="85"/>
      <x:c r="J3" s="85"/>
      <x:c r="K3" s="86"/>
      <x:c r="L3" s="87" t="str">
        <x:v>잔존 지표 수</x:v>
      </x:c>
      <x:c r="M3" s="90" t="n">
        <x:f>COUNTA(D7:D34)</x:f>
        <x:v>28</x:v>
      </x:c>
      <x:c r="N3" s="91" t="str">
        <x:v>삭제 지표 수</x:v>
      </x:c>
      <x:c r="O3" s="90" t="n">
        <x:f>COUNTA(I49:I51)</x:f>
        <x:v>3</x:v>
      </x:c>
    </x:row>
    <x:row r="4" ht="24" customHeight="1">
      <x:c r="A4" s="85" t="str">
        <x:v>출처: 제주여성가족연구원 「제주지역 출산환경지수 개발 연구」 p.83 &lt;표 Ⅳ-3&gt; | https://drive.google.com/file/d/1y2hWFmiBwIGSJTUm4PVYTvpBkwqPtv1V/view?usp=drivesdk</x:v>
      </x:c>
      <x:c r="B4" s="85"/>
      <x:c r="C4" s="85"/>
      <x:c r="D4" s="85"/>
      <x:c r="E4" s="85"/>
      <x:c r="F4" s="85"/>
      <x:c r="G4" s="85"/>
      <x:c r="H4" s="85"/>
      <x:c r="I4" s="85"/>
      <x:c r="J4" s="85"/>
      <x:c r="K4" s="86"/>
      <x:c r="L4" s="87" t="str">
        <x:v>대체 지표 수</x:v>
      </x:c>
      <x:c r="M4" s="90" t="n">
        <x:f>COUNTIF(G7:G34,"대체")</x:f>
        <x:v>2</x:v>
      </x:c>
      <x:c r="N4" s="91" t="str">
        <x:v>검산(소수 8자리)</x:v>
      </x:c>
      <x:c r="O4" s="90" t="str">
        <x:f>IF(AND(ROUND(O2,8)=1,ROUND(C51,8)=1,ROUND(I44,8)=1),"통과","확인 필요")</x:f>
        <x:v>통과</x:v>
      </x:c>
    </x:row>
    <x:row r="5">
      <x:c r="A5" s="86"/>
      <x:c r="B5" s="86"/>
      <x:c r="C5" s="86"/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</x:row>
    <x:row r="6" ht="34" customHeight="1">
      <x:c r="A6" s="92" t="str">
        <x:v>번호</x:v>
      </x:c>
      <x:c r="B6" s="92" t="str">
        <x:v>대영역</x:v>
      </x:c>
      <x:c r="C6" s="92" t="str">
        <x:v>세부영역</x:v>
      </x:c>
      <x:c r="D6" s="92" t="str">
        <x:v>지표</x:v>
      </x:c>
      <x:c r="E6" s="92" t="str">
        <x:v>표기</x:v>
      </x:c>
      <x:c r="F6" s="92" t="str">
        <x:v>방향</x:v>
      </x:c>
      <x:c r="G6" s="92" t="str">
        <x:v>처리</x:v>
      </x:c>
      <x:c r="H6" s="92" t="str">
        <x:v>원문 가중치</x:v>
      </x:c>
      <x:c r="I6" s="92" t="str">
        <x:v>원문 세부영역 합</x:v>
      </x:c>
      <x:c r="J6" s="92" t="str">
        <x:v>삭제 가중치</x:v>
      </x:c>
      <x:c r="K6" s="92" t="str">
        <x:v>잔존 합</x:v>
      </x:c>
      <x:c r="L6" s="92" t="str">
        <x:v>세부영역 재배분 후</x:v>
      </x:c>
      <x:c r="M6" s="92" t="str">
        <x:v>최종 조정 가중치</x:v>
      </x:c>
      <x:c r="N6" s="92" t="str">
        <x:v>세부영역 내부 비중</x:v>
      </x:c>
      <x:c r="O6" s="92" t="str">
        <x:v>비고</x:v>
      </x:c>
    </x:row>
    <x:row r="7" ht="21" customHeight="1">
      <x:c r="A7" s="93" t="n">
        <x:v>1</x:v>
      </x:c>
      <x:c r="B7" s="94" t="str">
        <x:v>경제·고용·주거</x:v>
      </x:c>
      <x:c r="C7" s="94" t="str">
        <x:v>고용여건</x:v>
      </x:c>
      <x:c r="D7" s="94" t="str">
        <x:v>청년 고용률</x:v>
      </x:c>
      <x:c r="E7" s="93" t="str">
        <x:v>YER</x:v>
      </x:c>
      <x:c r="F7" s="93" t="str">
        <x:v>+</x:v>
      </x:c>
      <x:c r="G7" s="93" t="str">
        <x:v>유지</x:v>
      </x:c>
      <x:c r="H7" s="95" t="n">
        <x:v>0.035</x:v>
      </x:c>
      <x:c r="I7" s="95" t="n">
        <x:f>SUMIF($C$7:$C$34,C7,$H$7:$H$34)+SUMIF($H$49:$H$51,C7,$J$49:$J$51)</x:f>
        <x:v>0.097</x:v>
      </x:c>
      <x:c r="J7" s="95" t="n">
        <x:f>SUMIF($H$49:$H$51,C7,$J$49:$J$51)</x:f>
        <x:v>0</x:v>
      </x:c>
      <x:c r="K7" s="95" t="n">
        <x:f>I7-J7</x:f>
        <x:v>0.097</x:v>
      </x:c>
      <x:c r="L7" s="95" t="n">
        <x:f>IF(K7=0,0,H7*I7/K7)</x:f>
        <x:v>0.035</x:v>
      </x:c>
      <x:c r="M7" s="95" t="n">
        <x:f>IF($M$2=0,0,L7/$M$2)</x:f>
        <x:v>0.034756703078450836</x:v>
      </x:c>
      <x:c r="N7" s="96" t="n">
        <x:f>IF(SUMIF($C$7:$C$34,C7,$M$7:$M$34)=0,0,M7/SUMIF($C$7:$C$34,C7,$M$7:$M$34))</x:f>
        <x:v>0.36082474226804123</x:v>
      </x:c>
      <x:c r="O7" s="97" t="str"/>
    </x:row>
    <x:row r="8" ht="21" customHeight="1">
      <x:c r="A8" s="98" t="n">
        <x:v>2</x:v>
      </x:c>
      <x:c r="B8" s="99" t="str">
        <x:v>경제·고용·주거</x:v>
      </x:c>
      <x:c r="C8" s="99" t="str">
        <x:v>고용여건</x:v>
      </x:c>
      <x:c r="D8" s="99" t="str">
        <x:v>청년층 정규직 근로자 비율</x:v>
      </x:c>
      <x:c r="E8" s="98" t="str">
        <x:v>YFRR</x:v>
      </x:c>
      <x:c r="F8" s="98" t="str">
        <x:v>+</x:v>
      </x:c>
      <x:c r="G8" s="98" t="str">
        <x:v>유지</x:v>
      </x:c>
      <x:c r="H8" s="100" t="n">
        <x:v>0.032</x:v>
      </x:c>
      <x:c r="I8" s="100" t="n">
        <x:f>SUMIF($C$7:$C$34,C8,$H$7:$H$34)+SUMIF($H$49:$H$51,C8,$J$49:$J$51)</x:f>
        <x:v>0.097</x:v>
      </x:c>
      <x:c r="J8" s="100" t="n">
        <x:f>SUMIF($H$49:$H$51,C8,$J$49:$J$51)</x:f>
        <x:v>0</x:v>
      </x:c>
      <x:c r="K8" s="100" t="n">
        <x:f>I8-J8</x:f>
        <x:v>0.097</x:v>
      </x:c>
      <x:c r="L8" s="100" t="n">
        <x:f>IF(K8=0,0,H8*I8/K8)</x:f>
        <x:v>0.032</x:v>
      </x:c>
      <x:c r="M8" s="100" t="n">
        <x:f>IF($M$2=0,0,L8/$M$2)</x:f>
        <x:v>0.03177755710029791</x:v>
      </x:c>
      <x:c r="N8" s="101" t="n">
        <x:f>IF(SUMIF($C$7:$C$34,C8,$M$7:$M$34)=0,0,M8/SUMIF($C$7:$C$34,C8,$M$7:$M$34))</x:f>
        <x:v>0.32989690721649484</x:v>
      </x:c>
      <x:c r="O8" s="102" t="str"/>
    </x:row>
    <x:row r="9" ht="21" customHeight="1">
      <x:c r="A9" s="98" t="n">
        <x:v>3</x:v>
      </x:c>
      <x:c r="B9" s="99" t="str">
        <x:v>경제·고용·주거</x:v>
      </x:c>
      <x:c r="C9" s="99" t="str">
        <x:v>고용여건</x:v>
      </x:c>
      <x:c r="D9" s="99" t="str">
        <x:v>근로시간</x:v>
      </x:c>
      <x:c r="E9" s="98" t="str">
        <x:v>AWH</x:v>
      </x:c>
      <x:c r="F9" s="98" t="str">
        <x:v>-</x:v>
      </x:c>
      <x:c r="G9" s="98" t="str">
        <x:v>유지</x:v>
      </x:c>
      <x:c r="H9" s="100" t="n">
        <x:v>0.03</x:v>
      </x:c>
      <x:c r="I9" s="100" t="n">
        <x:f>SUMIF($C$7:$C$34,C9,$H$7:$H$34)+SUMIF($H$49:$H$51,C9,$J$49:$J$51)</x:f>
        <x:v>0.097</x:v>
      </x:c>
      <x:c r="J9" s="100" t="n">
        <x:f>SUMIF($H$49:$H$51,C9,$J$49:$J$51)</x:f>
        <x:v>0</x:v>
      </x:c>
      <x:c r="K9" s="100" t="n">
        <x:f>I9-J9</x:f>
        <x:v>0.097</x:v>
      </x:c>
      <x:c r="L9" s="100" t="n">
        <x:f>IF(K9=0,0,H9*I9/K9)</x:f>
        <x:v>0.03</x:v>
      </x:c>
      <x:c r="M9" s="100" t="n">
        <x:f>IF($M$2=0,0,L9/$M$2)</x:f>
        <x:v>0.029791459781529285</x:v>
      </x:c>
      <x:c r="N9" s="101" t="n">
        <x:f>IF(SUMIF($C$7:$C$34,C9,$M$7:$M$34)=0,0,M9/SUMIF($C$7:$C$34,C9,$M$7:$M$34))</x:f>
        <x:v>0.3092783505154639</x:v>
      </x:c>
      <x:c r="O9" s="102" t="str">
        <x:v>값이 높을수록 불리: 정규화 후 방향 반전</x:v>
      </x:c>
    </x:row>
    <x:row r="10" ht="21" customHeight="1">
      <x:c r="A10" s="98" t="n">
        <x:v>4</x:v>
      </x:c>
      <x:c r="B10" s="99" t="str">
        <x:v>경제·고용·주거</x:v>
      </x:c>
      <x:c r="C10" s="99" t="str">
        <x:v>주거 안정성</x:v>
      </x:c>
      <x:c r="D10" s="99" t="str">
        <x:v>주택가격</x:v>
      </x:c>
      <x:c r="E10" s="98" t="str">
        <x:v>APH</x:v>
      </x:c>
      <x:c r="F10" s="98" t="str">
        <x:v>-</x:v>
      </x:c>
      <x:c r="G10" s="98" t="str">
        <x:v>유지</x:v>
      </x:c>
      <x:c r="H10" s="100" t="n">
        <x:v>0.028</x:v>
      </x:c>
      <x:c r="I10" s="100" t="n">
        <x:f>SUMIF($C$7:$C$34,C10,$H$7:$H$34)+SUMIF($H$49:$H$51,C10,$J$49:$J$51)</x:f>
        <x:v>0.072</x:v>
      </x:c>
      <x:c r="J10" s="100" t="n">
        <x:f>SUMIF($H$49:$H$51,C10,$J$49:$J$51)</x:f>
        <x:v>0</x:v>
      </x:c>
      <x:c r="K10" s="100" t="n">
        <x:f>I10-J10</x:f>
        <x:v>0.072</x:v>
      </x:c>
      <x:c r="L10" s="100" t="n">
        <x:f>IF(K10=0,0,H10*I10/K10)</x:f>
        <x:v>0.028</x:v>
      </x:c>
      <x:c r="M10" s="100" t="n">
        <x:f>IF($M$2=0,0,L10/$M$2)</x:f>
        <x:v>0.027805362462760667</x:v>
      </x:c>
      <x:c r="N10" s="101" t="n">
        <x:f>IF(SUMIF($C$7:$C$34,C10,$M$7:$M$34)=0,0,M10/SUMIF($C$7:$C$34,C10,$M$7:$M$34))</x:f>
        <x:v>0.3888888888888889</x:v>
      </x:c>
      <x:c r="O10" s="102" t="str">
        <x:v>값이 높을수록 불리: 정규화 후 방향 반전</x:v>
      </x:c>
    </x:row>
    <x:row r="11" ht="21" customHeight="1">
      <x:c r="A11" s="98" t="n">
        <x:v>5</x:v>
      </x:c>
      <x:c r="B11" s="99" t="str">
        <x:v>경제·고용·주거</x:v>
      </x:c>
      <x:c r="C11" s="99" t="str">
        <x:v>주거 안정성</x:v>
      </x:c>
      <x:c r="D11" s="99" t="str">
        <x:v>자가점유비율</x:v>
      </x:c>
      <x:c r="E11" s="98" t="str">
        <x:v>OOR</x:v>
      </x:c>
      <x:c r="F11" s="98" t="str">
        <x:v>+</x:v>
      </x:c>
      <x:c r="G11" s="98" t="str">
        <x:v>유지</x:v>
      </x:c>
      <x:c r="H11" s="100" t="n">
        <x:v>0.015</x:v>
      </x:c>
      <x:c r="I11" s="100" t="n">
        <x:f>SUMIF($C$7:$C$34,C11,$H$7:$H$34)+SUMIF($H$49:$H$51,C11,$J$49:$J$51)</x:f>
        <x:v>0.072</x:v>
      </x:c>
      <x:c r="J11" s="100" t="n">
        <x:f>SUMIF($H$49:$H$51,C11,$J$49:$J$51)</x:f>
        <x:v>0</x:v>
      </x:c>
      <x:c r="K11" s="100" t="n">
        <x:f>I11-J11</x:f>
        <x:v>0.072</x:v>
      </x:c>
      <x:c r="L11" s="100" t="n">
        <x:f>IF(K11=0,0,H11*I11/K11)</x:f>
        <x:v>0.014999999999999998</x:v>
      </x:c>
      <x:c r="M11" s="100" t="n">
        <x:f>IF($M$2=0,0,L11/$M$2)</x:f>
        <x:v>0.01489572989076464</x:v>
      </x:c>
      <x:c r="N11" s="101" t="n">
        <x:f>IF(SUMIF($C$7:$C$34,C11,$M$7:$M$34)=0,0,M11/SUMIF($C$7:$C$34,C11,$M$7:$M$34))</x:f>
        <x:v>0.20833333333333331</x:v>
      </x:c>
      <x:c r="O11" s="102" t="str"/>
    </x:row>
    <x:row r="12" ht="21" customHeight="1">
      <x:c r="A12" s="98" t="n">
        <x:v>6</x:v>
      </x:c>
      <x:c r="B12" s="99" t="str">
        <x:v>경제·고용·주거</x:v>
      </x:c>
      <x:c r="C12" s="99" t="str">
        <x:v>주거 안정성</x:v>
      </x:c>
      <x:c r="D12" s="99" t="str">
        <x:v>주거비</x:v>
      </x:c>
      <x:c r="E12" s="98" t="str">
        <x:v>HCC</x:v>
      </x:c>
      <x:c r="F12" s="98" t="str">
        <x:v>-</x:v>
      </x:c>
      <x:c r="G12" s="98" t="str">
        <x:v>유지</x:v>
      </x:c>
      <x:c r="H12" s="100" t="n">
        <x:v>0.029</x:v>
      </x:c>
      <x:c r="I12" s="100" t="n">
        <x:f>SUMIF($C$7:$C$34,C12,$H$7:$H$34)+SUMIF($H$49:$H$51,C12,$J$49:$J$51)</x:f>
        <x:v>0.072</x:v>
      </x:c>
      <x:c r="J12" s="100" t="n">
        <x:f>SUMIF($H$49:$H$51,C12,$J$49:$J$51)</x:f>
        <x:v>0</x:v>
      </x:c>
      <x:c r="K12" s="100" t="n">
        <x:f>I12-J12</x:f>
        <x:v>0.072</x:v>
      </x:c>
      <x:c r="L12" s="100" t="n">
        <x:f>IF(K12=0,0,H12*I12/K12)</x:f>
        <x:v>0.029</x:v>
      </x:c>
      <x:c r="M12" s="100" t="n">
        <x:f>IF($M$2=0,0,L12/$M$2)</x:f>
        <x:v>0.028798411122144978</x:v>
      </x:c>
      <x:c r="N12" s="101" t="n">
        <x:f>IF(SUMIF($C$7:$C$34,C12,$M$7:$M$34)=0,0,M12/SUMIF($C$7:$C$34,C12,$M$7:$M$34))</x:f>
        <x:v>0.4027777777777778</x:v>
      </x:c>
      <x:c r="O12" s="102" t="str">
        <x:v>값이 높을수록 불리: 정규화 후 방향 반전</x:v>
      </x:c>
    </x:row>
    <x:row r="13" ht="21" customHeight="1">
      <x:c r="A13" s="98" t="n">
        <x:v>7</x:v>
      </x:c>
      <x:c r="B13" s="99" t="str">
        <x:v>경제·고용·주거</x:v>
      </x:c>
      <x:c r="C13" s="99" t="str">
        <x:v>경제적 여건</x:v>
      </x:c>
      <x:c r="D13" s="99" t="str">
        <x:v>소득 만족도</x:v>
      </x:c>
      <x:c r="E13" s="98" t="str">
        <x:v>ISS</x:v>
      </x:c>
      <x:c r="F13" s="98" t="str">
        <x:v>+</x:v>
      </x:c>
      <x:c r="G13" s="98" t="str">
        <x:v>유지</x:v>
      </x:c>
      <x:c r="H13" s="100" t="n">
        <x:v>0.044</x:v>
      </x:c>
      <x:c r="I13" s="100" t="n">
        <x:f>SUMIF($C$7:$C$34,C13,$H$7:$H$34)+SUMIF($H$49:$H$51,C13,$J$49:$J$51)</x:f>
        <x:v>0.11</x:v>
      </x:c>
      <x:c r="J13" s="100" t="n">
        <x:f>SUMIF($H$49:$H$51,C13,$J$49:$J$51)</x:f>
        <x:v>0</x:v>
      </x:c>
      <x:c r="K13" s="100" t="n">
        <x:f>I13-J13</x:f>
        <x:v>0.11</x:v>
      </x:c>
      <x:c r="L13" s="100" t="n">
        <x:f>IF(K13=0,0,H13*I13/K13)</x:f>
        <x:v>0.044</x:v>
      </x:c>
      <x:c r="M13" s="100" t="n">
        <x:f>IF($M$2=0,0,L13/$M$2)</x:f>
        <x:v>0.04369414101290962</x:v>
      </x:c>
      <x:c r="N13" s="101" t="n">
        <x:f>IF(SUMIF($C$7:$C$34,C13,$M$7:$M$34)=0,0,M13/SUMIF($C$7:$C$34,C13,$M$7:$M$34))</x:f>
        <x:v>0.4</x:v>
      </x:c>
      <x:c r="O13" s="102" t="str"/>
    </x:row>
    <x:row r="14" ht="21" customHeight="1">
      <x:c r="A14" s="98" t="n">
        <x:v>8</x:v>
      </x:c>
      <x:c r="B14" s="99" t="str">
        <x:v>경제·고용·주거</x:v>
      </x:c>
      <x:c r="C14" s="99" t="str">
        <x:v>경제적 여건</x:v>
      </x:c>
      <x:c r="D14" s="99" t="str">
        <x:v>소득 수준</x:v>
      </x:c>
      <x:c r="E14" s="98" t="str">
        <x:v>PINC</x:v>
      </x:c>
      <x:c r="F14" s="98" t="str">
        <x:v>+</x:v>
      </x:c>
      <x:c r="G14" s="98" t="str">
        <x:v>유지</x:v>
      </x:c>
      <x:c r="H14" s="100" t="n">
        <x:v>0.066</x:v>
      </x:c>
      <x:c r="I14" s="100" t="n">
        <x:f>SUMIF($C$7:$C$34,C14,$H$7:$H$34)+SUMIF($H$49:$H$51,C14,$J$49:$J$51)</x:f>
        <x:v>0.11</x:v>
      </x:c>
      <x:c r="J14" s="100" t="n">
        <x:f>SUMIF($H$49:$H$51,C14,$J$49:$J$51)</x:f>
        <x:v>0</x:v>
      </x:c>
      <x:c r="K14" s="100" t="n">
        <x:f>I14-J14</x:f>
        <x:v>0.11</x:v>
      </x:c>
      <x:c r="L14" s="100" t="n">
        <x:f>IF(K14=0,0,H14*I14/K14)</x:f>
        <x:v>0.066</x:v>
      </x:c>
      <x:c r="M14" s="100" t="n">
        <x:f>IF($M$2=0,0,L14/$M$2)</x:f>
        <x:v>0.06554121151936443</x:v>
      </x:c>
      <x:c r="N14" s="101" t="n">
        <x:f>IF(SUMIF($C$7:$C$34,C14,$M$7:$M$34)=0,0,M14/SUMIF($C$7:$C$34,C14,$M$7:$M$34))</x:f>
        <x:v>0.6000000000000001</x:v>
      </x:c>
      <x:c r="O14" s="102" t="str"/>
    </x:row>
    <x:row r="15" ht="21" customHeight="1">
      <x:c r="A15" s="98" t="n">
        <x:v>9</x:v>
      </x:c>
      <x:c r="B15" s="99" t="str">
        <x:v>가족·생활</x:v>
      </x:c>
      <x:c r="C15" s="99" t="str">
        <x:v>돌봄여건</x:v>
      </x:c>
      <x:c r="D15" s="99" t="str">
        <x:v>보육시설 보급률</x:v>
      </x:c>
      <x:c r="E15" s="98" t="str">
        <x:v>CFR</x:v>
      </x:c>
      <x:c r="F15" s="98" t="str">
        <x:v>+</x:v>
      </x:c>
      <x:c r="G15" s="98" t="str">
        <x:v>유지</x:v>
      </x:c>
      <x:c r="H15" s="100" t="n">
        <x:v>0.051</x:v>
      </x:c>
      <x:c r="I15" s="100" t="n">
        <x:f>SUMIF($C$7:$C$34,C15,$H$7:$H$34)+SUMIF($H$49:$H$51,C15,$J$49:$J$51)</x:f>
        <x:v>0.123</x:v>
      </x:c>
      <x:c r="J15" s="100" t="n">
        <x:f>SUMIF($H$49:$H$51,C15,$J$49:$J$51)</x:f>
        <x:v>0</x:v>
      </x:c>
      <x:c r="K15" s="100" t="n">
        <x:f>I15-J15</x:f>
        <x:v>0.123</x:v>
      </x:c>
      <x:c r="L15" s="100" t="n">
        <x:f>IF(K15=0,0,H15*I15/K15)</x:f>
        <x:v>0.051</x:v>
      </x:c>
      <x:c r="M15" s="100" t="n">
        <x:f>IF($M$2=0,0,L15/$M$2)</x:f>
        <x:v>0.05064548162859978</x:v>
      </x:c>
      <x:c r="N15" s="101" t="n">
        <x:f>IF(SUMIF($C$7:$C$34,C15,$M$7:$M$34)=0,0,M15/SUMIF($C$7:$C$34,C15,$M$7:$M$34))</x:f>
        <x:v>0.4146341463414634</x:v>
      </x:c>
      <x:c r="O15" s="102" t="str"/>
    </x:row>
    <x:row r="16" ht="21" customHeight="1">
      <x:c r="A16" s="98" t="n">
        <x:v>10</x:v>
      </x:c>
      <x:c r="B16" s="99" t="str">
        <x:v>가족·생활</x:v>
      </x:c>
      <x:c r="C16" s="99" t="str">
        <x:v>돌봄여건</x:v>
      </x:c>
      <x:c r="D16" s="99" t="str">
        <x:v>방과후 돌봄시설 보급도</x:v>
      </x:c>
      <x:c r="E16" s="98" t="str">
        <x:v>ACSR</x:v>
      </x:c>
      <x:c r="F16" s="98" t="str">
        <x:v>+</x:v>
      </x:c>
      <x:c r="G16" s="98" t="str">
        <x:v>유지</x:v>
      </x:c>
      <x:c r="H16" s="100" t="n">
        <x:v>0.044</x:v>
      </x:c>
      <x:c r="I16" s="100" t="n">
        <x:f>SUMIF($C$7:$C$34,C16,$H$7:$H$34)+SUMIF($H$49:$H$51,C16,$J$49:$J$51)</x:f>
        <x:v>0.123</x:v>
      </x:c>
      <x:c r="J16" s="100" t="n">
        <x:f>SUMIF($H$49:$H$51,C16,$J$49:$J$51)</x:f>
        <x:v>0</x:v>
      </x:c>
      <x:c r="K16" s="100" t="n">
        <x:f>I16-J16</x:f>
        <x:v>0.123</x:v>
      </x:c>
      <x:c r="L16" s="100" t="n">
        <x:f>IF(K16=0,0,H16*I16/K16)</x:f>
        <x:v>0.044</x:v>
      </x:c>
      <x:c r="M16" s="100" t="n">
        <x:f>IF($M$2=0,0,L16/$M$2)</x:f>
        <x:v>0.04369414101290962</x:v>
      </x:c>
      <x:c r="N16" s="101" t="n">
        <x:f>IF(SUMIF($C$7:$C$34,C16,$M$7:$M$34)=0,0,M16/SUMIF($C$7:$C$34,C16,$M$7:$M$34))</x:f>
        <x:v>0.35772357723577236</x:v>
      </x:c>
      <x:c r="O16" s="102" t="str"/>
    </x:row>
    <x:row r="17" ht="21" customHeight="1">
      <x:c r="A17" s="98" t="n">
        <x:v>11</x:v>
      </x:c>
      <x:c r="B17" s="99" t="str">
        <x:v>가족·생활</x:v>
      </x:c>
      <x:c r="C17" s="99" t="str">
        <x:v>돌봄여건</x:v>
      </x:c>
      <x:c r="D17" s="99" t="str">
        <x:v>사교육비 지출액</x:v>
      </x:c>
      <x:c r="E17" s="98" t="str">
        <x:v>PES</x:v>
      </x:c>
      <x:c r="F17" s="98" t="str">
        <x:v>-</x:v>
      </x:c>
      <x:c r="G17" s="98" t="str">
        <x:v>유지</x:v>
      </x:c>
      <x:c r="H17" s="100" t="n">
        <x:v>0.028</x:v>
      </x:c>
      <x:c r="I17" s="100" t="n">
        <x:f>SUMIF($C$7:$C$34,C17,$H$7:$H$34)+SUMIF($H$49:$H$51,C17,$J$49:$J$51)</x:f>
        <x:v>0.123</x:v>
      </x:c>
      <x:c r="J17" s="100" t="n">
        <x:f>SUMIF($H$49:$H$51,C17,$J$49:$J$51)</x:f>
        <x:v>0</x:v>
      </x:c>
      <x:c r="K17" s="100" t="n">
        <x:f>I17-J17</x:f>
        <x:v>0.123</x:v>
      </x:c>
      <x:c r="L17" s="100" t="n">
        <x:f>IF(K17=0,0,H17*I17/K17)</x:f>
        <x:v>0.028</x:v>
      </x:c>
      <x:c r="M17" s="100" t="n">
        <x:f>IF($M$2=0,0,L17/$M$2)</x:f>
        <x:v>0.027805362462760667</x:v>
      </x:c>
      <x:c r="N17" s="101" t="n">
        <x:f>IF(SUMIF($C$7:$C$34,C17,$M$7:$M$34)=0,0,M17/SUMIF($C$7:$C$34,C17,$M$7:$M$34))</x:f>
        <x:v>0.22764227642276424</x:v>
      </x:c>
      <x:c r="O17" s="102" t="str">
        <x:v>값이 높을수록 불리: 정규화 후 방향 반전</x:v>
      </x:c>
    </x:row>
    <x:row r="18" ht="21" customHeight="1">
      <x:c r="A18" s="98" t="n">
        <x:v>12</x:v>
      </x:c>
      <x:c r="B18" s="99" t="str">
        <x:v>가족·생활</x:v>
      </x:c>
      <x:c r="C18" s="99" t="str">
        <x:v>여가 인프라</x:v>
      </x:c>
      <x:c r="D18" s="99" t="str">
        <x:v>문화기반시설 보급도</x:v>
      </x:c>
      <x:c r="E18" s="98" t="str">
        <x:v>CIPR</x:v>
      </x:c>
      <x:c r="F18" s="98" t="str">
        <x:v>+</x:v>
      </x:c>
      <x:c r="G18" s="98" t="str">
        <x:v>유지</x:v>
      </x:c>
      <x:c r="H18" s="100" t="n">
        <x:v>0.047</x:v>
      </x:c>
      <x:c r="I18" s="100" t="n">
        <x:f>SUMIF($C$7:$C$34,C18,$H$7:$H$34)+SUMIF($H$49:$H$51,C18,$J$49:$J$51)</x:f>
        <x:v>0.10400000000000001</x:v>
      </x:c>
      <x:c r="J18" s="100" t="n">
        <x:f>SUMIF($H$49:$H$51,C18,$J$49:$J$51)</x:f>
        <x:v>0</x:v>
      </x:c>
      <x:c r="K18" s="100" t="n">
        <x:f>I18-J18</x:f>
        <x:v>0.10400000000000001</x:v>
      </x:c>
      <x:c r="L18" s="100" t="n">
        <x:f>IF(K18=0,0,H18*I18/K18)</x:f>
        <x:v>0.04700000000000001</x:v>
      </x:c>
      <x:c r="M18" s="100" t="n">
        <x:f>IF($M$2=0,0,L18/$M$2)</x:f>
        <x:v>0.04667328699106255</x:v>
      </x:c>
      <x:c r="N18" s="101" t="n">
        <x:f>IF(SUMIF($C$7:$C$34,C18,$M$7:$M$34)=0,0,M18/SUMIF($C$7:$C$34,C18,$M$7:$M$34))</x:f>
        <x:v>0.451923076923077</x:v>
      </x:c>
      <x:c r="O18" s="102" t="str"/>
    </x:row>
    <x:row r="19" ht="21" customHeight="1">
      <x:c r="A19" s="98" t="n">
        <x:v>13</x:v>
      </x:c>
      <x:c r="B19" s="99" t="str">
        <x:v>가족·생활</x:v>
      </x:c>
      <x:c r="C19" s="99" t="str">
        <x:v>여가 인프라</x:v>
      </x:c>
      <x:c r="D19" s="99" t="str">
        <x:v>도시공원 보급도</x:v>
      </x:c>
      <x:c r="E19" s="98" t="str">
        <x:v>UPSR</x:v>
      </x:c>
      <x:c r="F19" s="98" t="str">
        <x:v>+</x:v>
      </x:c>
      <x:c r="G19" s="98" t="str">
        <x:v>유지</x:v>
      </x:c>
      <x:c r="H19" s="100" t="n">
        <x:v>0.025</x:v>
      </x:c>
      <x:c r="I19" s="100" t="n">
        <x:f>SUMIF($C$7:$C$34,C19,$H$7:$H$34)+SUMIF($H$49:$H$51,C19,$J$49:$J$51)</x:f>
        <x:v>0.10400000000000001</x:v>
      </x:c>
      <x:c r="J19" s="100" t="n">
        <x:f>SUMIF($H$49:$H$51,C19,$J$49:$J$51)</x:f>
        <x:v>0</x:v>
      </x:c>
      <x:c r="K19" s="100" t="n">
        <x:f>I19-J19</x:f>
        <x:v>0.10400000000000001</x:v>
      </x:c>
      <x:c r="L19" s="100" t="n">
        <x:f>IF(K19=0,0,H19*I19/K19)</x:f>
        <x:v>0.025</x:v>
      </x:c>
      <x:c r="M19" s="100" t="n">
        <x:f>IF($M$2=0,0,L19/$M$2)</x:f>
        <x:v>0.024826216484607738</x:v>
      </x:c>
      <x:c r="N19" s="101" t="n">
        <x:f>IF(SUMIF($C$7:$C$34,C19,$M$7:$M$34)=0,0,M19/SUMIF($C$7:$C$34,C19,$M$7:$M$34))</x:f>
        <x:v>0.24038461538461536</x:v>
      </x:c>
      <x:c r="O19" s="102" t="str"/>
    </x:row>
    <x:row r="20" ht="21" customHeight="1">
      <x:c r="A20" s="98" t="n">
        <x:v>14</x:v>
      </x:c>
      <x:c r="B20" s="99" t="str">
        <x:v>가족·생활</x:v>
      </x:c>
      <x:c r="C20" s="99" t="str">
        <x:v>여가 인프라</x:v>
      </x:c>
      <x:c r="D20" s="99" t="str">
        <x:v>여가생활 만족도</x:v>
      </x:c>
      <x:c r="E20" s="98" t="str">
        <x:v>LLS</x:v>
      </x:c>
      <x:c r="F20" s="98" t="str">
        <x:v>+</x:v>
      </x:c>
      <x:c r="G20" s="98" t="str">
        <x:v>유지</x:v>
      </x:c>
      <x:c r="H20" s="100" t="n">
        <x:v>0.032</x:v>
      </x:c>
      <x:c r="I20" s="100" t="n">
        <x:f>SUMIF($C$7:$C$34,C20,$H$7:$H$34)+SUMIF($H$49:$H$51,C20,$J$49:$J$51)</x:f>
        <x:v>0.10400000000000001</x:v>
      </x:c>
      <x:c r="J20" s="100" t="n">
        <x:f>SUMIF($H$49:$H$51,C20,$J$49:$J$51)</x:f>
        <x:v>0</x:v>
      </x:c>
      <x:c r="K20" s="100" t="n">
        <x:f>I20-J20</x:f>
        <x:v>0.10400000000000001</x:v>
      </x:c>
      <x:c r="L20" s="100" t="n">
        <x:f>IF(K20=0,0,H20*I20/K20)</x:f>
        <x:v>0.032</x:v>
      </x:c>
      <x:c r="M20" s="100" t="n">
        <x:f>IF($M$2=0,0,L20/$M$2)</x:f>
        <x:v>0.03177755710029791</x:v>
      </x:c>
      <x:c r="N20" s="101" t="n">
        <x:f>IF(SUMIF($C$7:$C$34,C20,$M$7:$M$34)=0,0,M20/SUMIF($C$7:$C$34,C20,$M$7:$M$34))</x:f>
        <x:v>0.3076923076923077</x:v>
      </x:c>
      <x:c r="O20" s="102" t="str"/>
    </x:row>
    <x:row r="21" ht="21" customHeight="1">
      <x:c r="A21" s="98" t="n">
        <x:v>15</x:v>
      </x:c>
      <x:c r="B21" s="99" t="str">
        <x:v>가족·생활</x:v>
      </x:c>
      <x:c r="C21" s="99" t="str">
        <x:v>가사수행 격차</x:v>
      </x:c>
      <x:c r="D21" s="99" t="str">
        <x:v>가사노동 공동 참여도</x:v>
      </x:c>
      <x:c r="E21" s="98" t="str">
        <x:v>HPR</x:v>
      </x:c>
      <x:c r="F21" s="98" t="str">
        <x:v>+</x:v>
      </x:c>
      <x:c r="G21" s="98" t="str">
        <x:v>유지</x:v>
      </x:c>
      <x:c r="H21" s="100" t="n">
        <x:v>0.026</x:v>
      </x:c>
      <x:c r="I21" s="100" t="n">
        <x:f>SUMIF($C$7:$C$34,C21,$H$7:$H$34)+SUMIF($H$49:$H$51,C21,$J$49:$J$51)</x:f>
        <x:v>0.063</x:v>
      </x:c>
      <x:c r="J21" s="100" t="n">
        <x:f>SUMIF($H$49:$H$51,C21,$J$49:$J$51)</x:f>
        <x:v>0</x:v>
      </x:c>
      <x:c r="K21" s="100" t="n">
        <x:f>I21-J21</x:f>
        <x:v>0.063</x:v>
      </x:c>
      <x:c r="L21" s="100" t="n">
        <x:f>IF(K21=0,0,H21*I21/K21)</x:f>
        <x:v>0.026</x:v>
      </x:c>
      <x:c r="M21" s="100" t="n">
        <x:f>IF($M$2=0,0,L21/$M$2)</x:f>
        <x:v>0.025819265143992045</x:v>
      </x:c>
      <x:c r="N21" s="101" t="n">
        <x:f>IF(SUMIF($C$7:$C$34,C21,$M$7:$M$34)=0,0,M21/SUMIF($C$7:$C$34,C21,$M$7:$M$34))</x:f>
        <x:v>0.41269841269841273</x:v>
      </x:c>
      <x:c r="O21" s="102" t="str"/>
    </x:row>
    <x:row r="22" ht="21" customHeight="1">
      <x:c r="A22" s="98" t="n">
        <x:v>16</x:v>
      </x:c>
      <x:c r="B22" s="99" t="str">
        <x:v>가족·생활</x:v>
      </x:c>
      <x:c r="C22" s="99" t="str">
        <x:v>가사수행 격차</x:v>
      </x:c>
      <x:c r="D22" s="99" t="str">
        <x:v>돌봄노동 공동 참여도</x:v>
      </x:c>
      <x:c r="E22" s="98" t="str">
        <x:v>CPR</x:v>
      </x:c>
      <x:c r="F22" s="98" t="str">
        <x:v>+</x:v>
      </x:c>
      <x:c r="G22" s="98" t="str">
        <x:v>유지</x:v>
      </x:c>
      <x:c r="H22" s="100" t="n">
        <x:v>0.037</x:v>
      </x:c>
      <x:c r="I22" s="100" t="n">
        <x:f>SUMIF($C$7:$C$34,C22,$H$7:$H$34)+SUMIF($H$49:$H$51,C22,$J$49:$J$51)</x:f>
        <x:v>0.063</x:v>
      </x:c>
      <x:c r="J22" s="100" t="n">
        <x:f>SUMIF($H$49:$H$51,C22,$J$49:$J$51)</x:f>
        <x:v>0</x:v>
      </x:c>
      <x:c r="K22" s="100" t="n">
        <x:f>I22-J22</x:f>
        <x:v>0.063</x:v>
      </x:c>
      <x:c r="L22" s="100" t="n">
        <x:f>IF(K22=0,0,H22*I22/K22)</x:f>
        <x:v>0.037</x:v>
      </x:c>
      <x:c r="M22" s="100" t="n">
        <x:f>IF($M$2=0,0,L22/$M$2)</x:f>
        <x:v>0.03674280039721945</x:v>
      </x:c>
      <x:c r="N22" s="101" t="n">
        <x:f>IF(SUMIF($C$7:$C$34,C22,$M$7:$M$34)=0,0,M22/SUMIF($C$7:$C$34,C22,$M$7:$M$34))</x:f>
        <x:v>0.5873015873015873</x:v>
      </x:c>
      <x:c r="O22" s="102" t="str"/>
    </x:row>
    <x:row r="23" ht="21" customHeight="1">
      <x:c r="A23" s="98" t="n">
        <x:v>17</x:v>
      </x:c>
      <x:c r="B23" s="99" t="str">
        <x:v>보건·안전</x:v>
      </x:c>
      <x:c r="C23" s="99" t="str">
        <x:v>의료서비스 여건</x:v>
      </x:c>
      <x:c r="D23" s="99" t="str">
        <x:v>분만실 병상수 보급도</x:v>
      </x:c>
      <x:c r="E23" s="98" t="str">
        <x:v>DOCR</x:v>
      </x:c>
      <x:c r="F23" s="98" t="str">
        <x:v>+</x:v>
      </x:c>
      <x:c r="G23" s="98" t="str">
        <x:v>대체</x:v>
      </x:c>
      <x:c r="H23" s="100" t="n">
        <x:v>0.026</x:v>
      </x:c>
      <x:c r="I23" s="100" t="n">
        <x:f>SUMIF($C$7:$C$34,C23,$H$7:$H$34)+SUMIF($H$49:$H$51,C23,$J$49:$J$51)</x:f>
        <x:v>0.07400000000000001</x:v>
      </x:c>
      <x:c r="J23" s="100" t="n">
        <x:f>SUMIF($H$49:$H$51,C23,$J$49:$J$51)</x:f>
        <x:v>0.024</x:v>
      </x:c>
      <x:c r="K23" s="100" t="n">
        <x:f>I23-J23</x:f>
        <x:v>0.05000000000000001</x:v>
      </x:c>
      <x:c r="L23" s="100" t="n">
        <x:f>IF(K23=0,0,H23*I23/K23)</x:f>
        <x:v>0.03847999999999999</x:v>
      </x:c>
      <x:c r="M23" s="100" t="n">
        <x:f>IF($M$2=0,0,L23/$M$2)</x:f>
        <x:v>0.038212512413108225</x:v>
      </x:c>
      <x:c r="N23" s="101" t="n">
        <x:f>IF(SUMIF($C$7:$C$34,C23,$M$7:$M$34)=0,0,M23/SUMIF($C$7:$C$34,C23,$M$7:$M$34))</x:f>
        <x:v>0.52</x:v>
      </x:c>
      <x:c r="O23" s="102" t="str">
        <x:v>원문 ‘분만 가능 산부인과 보급도’의 가중치 슬롯 유지</x:v>
      </x:c>
    </x:row>
    <x:row r="24" ht="21" customHeight="1">
      <x:c r="A24" s="98" t="n">
        <x:v>18</x:v>
      </x:c>
      <x:c r="B24" s="99" t="str">
        <x:v>보건·안전</x:v>
      </x:c>
      <x:c r="C24" s="99" t="str">
        <x:v>의료서비스 여건</x:v>
      </x:c>
      <x:c r="D24" s="99" t="str">
        <x:v>소아청소년과 전문인력 보급도</x:v>
      </x:c>
      <x:c r="E24" s="98" t="str">
        <x:v>PCCR</x:v>
      </x:c>
      <x:c r="F24" s="98" t="str">
        <x:v>+</x:v>
      </x:c>
      <x:c r="G24" s="98" t="str">
        <x:v>대체</x:v>
      </x:c>
      <x:c r="H24" s="100" t="n">
        <x:v>0.024</x:v>
      </x:c>
      <x:c r="I24" s="100" t="n">
        <x:f>SUMIF($C$7:$C$34,C24,$H$7:$H$34)+SUMIF($H$49:$H$51,C24,$J$49:$J$51)</x:f>
        <x:v>0.07400000000000001</x:v>
      </x:c>
      <x:c r="J24" s="100" t="n">
        <x:f>SUMIF($H$49:$H$51,C24,$J$49:$J$51)</x:f>
        <x:v>0.024</x:v>
      </x:c>
      <x:c r="K24" s="100" t="n">
        <x:f>I24-J24</x:f>
        <x:v>0.05000000000000001</x:v>
      </x:c>
      <x:c r="L24" s="100" t="n">
        <x:f>IF(K24=0,0,H24*I24/K24)</x:f>
        <x:v>0.035519999999999996</x:v>
      </x:c>
      <x:c r="M24" s="100" t="n">
        <x:f>IF($M$2=0,0,L24/$M$2)</x:f>
        <x:v>0.03527308838133067</x:v>
      </x:c>
      <x:c r="N24" s="101" t="n">
        <x:f>IF(SUMIF($C$7:$C$34,C24,$M$7:$M$34)=0,0,M24/SUMIF($C$7:$C$34,C24,$M$7:$M$34))</x:f>
        <x:v>0.48000000000000004</x:v>
      </x:c>
      <x:c r="O24" s="102" t="str">
        <x:v>원문 ‘소아청소년과 보급도’의 가중치 슬롯 유지</x:v>
      </x:c>
    </x:row>
    <x:row r="25" ht="21" customHeight="1">
      <x:c r="A25" s="98" t="n">
        <x:v>19</x:v>
      </x:c>
      <x:c r="B25" s="99" t="str">
        <x:v>보건·안전</x:v>
      </x:c>
      <x:c r="C25" s="99" t="str">
        <x:v>산후조리 여건</x:v>
      </x:c>
      <x:c r="D25" s="99" t="str">
        <x:v>산후조리원 보급도</x:v>
      </x:c>
      <x:c r="E25" s="98" t="str">
        <x:v>PPCS</x:v>
      </x:c>
      <x:c r="F25" s="98" t="str">
        <x:v>+</x:v>
      </x:c>
      <x:c r="G25" s="98" t="str">
        <x:v>유지</x:v>
      </x:c>
      <x:c r="H25" s="100" t="n">
        <x:v>0.04</x:v>
      </x:c>
      <x:c r="I25" s="100" t="n">
        <x:f>SUMIF($C$7:$C$34,C25,$H$7:$H$34)+SUMIF($H$49:$H$51,C25,$J$49:$J$51)</x:f>
        <x:v>0.063</x:v>
      </x:c>
      <x:c r="J25" s="100" t="n">
        <x:f>SUMIF($H$49:$H$51,C25,$J$49:$J$51)</x:f>
        <x:v>0</x:v>
      </x:c>
      <x:c r="K25" s="100" t="n">
        <x:f>I25-J25</x:f>
        <x:v>0.063</x:v>
      </x:c>
      <x:c r="L25" s="100" t="n">
        <x:f>IF(K25=0,0,H25*I25/K25)</x:f>
        <x:v>0.04</x:v>
      </x:c>
      <x:c r="M25" s="100" t="n">
        <x:f>IF($M$2=0,0,L25/$M$2)</x:f>
        <x:v>0.03972194637537238</x:v>
      </x:c>
      <x:c r="N25" s="101" t="n">
        <x:f>IF(SUMIF($C$7:$C$34,C25,$M$7:$M$34)=0,0,M25/SUMIF($C$7:$C$34,C25,$M$7:$M$34))</x:f>
        <x:v>0.634920634920635</x:v>
      </x:c>
      <x:c r="O25" s="102" t="str"/>
    </x:row>
    <x:row r="26" ht="21" customHeight="1">
      <x:c r="A26" s="98" t="n">
        <x:v>20</x:v>
      </x:c>
      <x:c r="B26" s="99" t="str">
        <x:v>보건·안전</x:v>
      </x:c>
      <x:c r="C26" s="99" t="str">
        <x:v>산후조리 여건</x:v>
      </x:c>
      <x:c r="D26" s="99" t="str">
        <x:v>산후조리원 이용 요금</x:v>
      </x:c>
      <x:c r="E26" s="98" t="str">
        <x:v>PPCF</x:v>
      </x:c>
      <x:c r="F26" s="98" t="str">
        <x:v>-</x:v>
      </x:c>
      <x:c r="G26" s="98" t="str">
        <x:v>유지</x:v>
      </x:c>
      <x:c r="H26" s="100" t="n">
        <x:v>0.023</x:v>
      </x:c>
      <x:c r="I26" s="100" t="n">
        <x:f>SUMIF($C$7:$C$34,C26,$H$7:$H$34)+SUMIF($H$49:$H$51,C26,$J$49:$J$51)</x:f>
        <x:v>0.063</x:v>
      </x:c>
      <x:c r="J26" s="100" t="n">
        <x:f>SUMIF($H$49:$H$51,C26,$J$49:$J$51)</x:f>
        <x:v>0</x:v>
      </x:c>
      <x:c r="K26" s="100" t="n">
        <x:f>I26-J26</x:f>
        <x:v>0.063</x:v>
      </x:c>
      <x:c r="L26" s="100" t="n">
        <x:f>IF(K26=0,0,H26*I26/K26)</x:f>
        <x:v>0.023</x:v>
      </x:c>
      <x:c r="M26" s="100" t="n">
        <x:f>IF($M$2=0,0,L26/$M$2)</x:f>
        <x:v>0.02284011916583912</x:v>
      </x:c>
      <x:c r="N26" s="101" t="n">
        <x:f>IF(SUMIF($C$7:$C$34,C26,$M$7:$M$34)=0,0,M26/SUMIF($C$7:$C$34,C26,$M$7:$M$34))</x:f>
        <x:v>0.3650793650793651</x:v>
      </x:c>
      <x:c r="O26" s="102" t="str">
        <x:v>값이 높을수록 불리: 정규화 후 방향 반전</x:v>
      </x:c>
    </x:row>
    <x:row r="27" ht="21" customHeight="1">
      <x:c r="A27" s="98" t="n">
        <x:v>21</x:v>
      </x:c>
      <x:c r="B27" s="99" t="str">
        <x:v>보건·안전</x:v>
      </x:c>
      <x:c r="C27" s="99" t="str">
        <x:v>아동안전 수준</x:v>
      </x:c>
      <x:c r="D27" s="99" t="str">
        <x:v>어린이 교통사고 발생률</x:v>
      </x:c>
      <x:c r="E27" s="98" t="str">
        <x:v>TRA</x:v>
      </x:c>
      <x:c r="F27" s="98" t="str">
        <x:v>-</x:v>
      </x:c>
      <x:c r="G27" s="98" t="str">
        <x:v>유지</x:v>
      </x:c>
      <x:c r="H27" s="100" t="n">
        <x:v>0.022</x:v>
      </x:c>
      <x:c r="I27" s="100" t="n">
        <x:f>SUMIF($C$7:$C$34,C27,$H$7:$H$34)+SUMIF($H$49:$H$51,C27,$J$49:$J$51)</x:f>
        <x:v>0.066</x:v>
      </x:c>
      <x:c r="J27" s="100" t="n">
        <x:f>SUMIF($H$49:$H$51,C27,$J$49:$J$51)</x:f>
        <x:v>0.019</x:v>
      </x:c>
      <x:c r="K27" s="100" t="n">
        <x:f>I27-J27</x:f>
        <x:v>0.047</x:v>
      </x:c>
      <x:c r="L27" s="100" t="n">
        <x:f>IF(K27=0,0,H27*I27/K27)</x:f>
        <x:v>0.030893617021276593</x:v>
      </x:c>
      <x:c r="M27" s="100" t="n">
        <x:f>IF($M$2=0,0,L27/$M$2)</x:f>
        <x:v>0.030678864966511007</x:v>
      </x:c>
      <x:c r="N27" s="101" t="n">
        <x:f>IF(SUMIF($C$7:$C$34,C27,$M$7:$M$34)=0,0,M27/SUMIF($C$7:$C$34,C27,$M$7:$M$34))</x:f>
        <x:v>0.4680851063829787</x:v>
      </x:c>
      <x:c r="O27" s="102" t="str">
        <x:v>값이 높을수록 불리: 정규화 후 방향 반전</x:v>
      </x:c>
    </x:row>
    <x:row r="28" ht="21" customHeight="1">
      <x:c r="A28" s="98" t="n">
        <x:v>22</x:v>
      </x:c>
      <x:c r="B28" s="99" t="str">
        <x:v>보건·안전</x:v>
      </x:c>
      <x:c r="C28" s="99" t="str">
        <x:v>아동안전 수준</x:v>
      </x:c>
      <x:c r="D28" s="99" t="str">
        <x:v>사회 안전에 대한 인식</x:v>
      </x:c>
      <x:c r="E28" s="98" t="str">
        <x:v>PSS</x:v>
      </x:c>
      <x:c r="F28" s="98" t="str">
        <x:v>+</x:v>
      </x:c>
      <x:c r="G28" s="98" t="str">
        <x:v>유지</x:v>
      </x:c>
      <x:c r="H28" s="100" t="n">
        <x:v>0.025</x:v>
      </x:c>
      <x:c r="I28" s="100" t="n">
        <x:f>SUMIF($C$7:$C$34,C28,$H$7:$H$34)+SUMIF($H$49:$H$51,C28,$J$49:$J$51)</x:f>
        <x:v>0.066</x:v>
      </x:c>
      <x:c r="J28" s="100" t="n">
        <x:f>SUMIF($H$49:$H$51,C28,$J$49:$J$51)</x:f>
        <x:v>0.019</x:v>
      </x:c>
      <x:c r="K28" s="100" t="n">
        <x:f>I28-J28</x:f>
        <x:v>0.047</x:v>
      </x:c>
      <x:c r="L28" s="100" t="n">
        <x:f>IF(K28=0,0,H28*I28/K28)</x:f>
        <x:v>0.035106382978723406</x:v>
      </x:c>
      <x:c r="M28" s="100" t="n">
        <x:f>IF($M$2=0,0,L28/$M$2)</x:f>
        <x:v>0.03486234655285342</x:v>
      </x:c>
      <x:c r="N28" s="101" t="n">
        <x:f>IF(SUMIF($C$7:$C$34,C28,$M$7:$M$34)=0,0,M28/SUMIF($C$7:$C$34,C28,$M$7:$M$34))</x:f>
        <x:v>0.5319148936170213</x:v>
      </x:c>
      <x:c r="O28" s="102" t="str"/>
    </x:row>
    <x:row r="29" ht="21" customHeight="1">
      <x:c r="A29" s="98" t="n">
        <x:v>23</x:v>
      </x:c>
      <x:c r="B29" s="99" t="str">
        <x:v>사회·문화</x:v>
      </x:c>
      <x:c r="C29" s="99" t="str">
        <x:v>일·가정 양립 여건</x:v>
      </x:c>
      <x:c r="D29" s="99" t="str">
        <x:v>육아휴직 사용률</x:v>
      </x:c>
      <x:c r="E29" s="98" t="str">
        <x:v>PLR</x:v>
      </x:c>
      <x:c r="F29" s="98" t="str">
        <x:v>+</x:v>
      </x:c>
      <x:c r="G29" s="98" t="str">
        <x:v>유지</x:v>
      </x:c>
      <x:c r="H29" s="100" t="n">
        <x:v>0.05</x:v>
      </x:c>
      <x:c r="I29" s="100" t="n">
        <x:f>SUMIF($C$7:$C$34,C29,$H$7:$H$34)+SUMIF($H$49:$H$51,C29,$J$49:$J$51)</x:f>
        <x:v>0.119</x:v>
      </x:c>
      <x:c r="J29" s="100" t="n">
        <x:f>SUMIF($H$49:$H$51,C29,$J$49:$J$51)</x:f>
        <x:v>0.03</x:v>
      </x:c>
      <x:c r="K29" s="100" t="n">
        <x:f>I29-J29</x:f>
        <x:v>0.089</x:v>
      </x:c>
      <x:c r="L29" s="100" t="n">
        <x:f>IF(K29=0,0,H29*I29/K29)</x:f>
        <x:v>0.06685393258426967</x:v>
      </x:c>
      <x:c r="M29" s="100" t="n">
        <x:f>IF($M$2=0,0,L29/$M$2)</x:f>
        <x:v>0.066389208127378</x:v>
      </x:c>
      <x:c r="N29" s="101" t="n">
        <x:f>IF(SUMIF($C$7:$C$34,C29,$M$7:$M$34)=0,0,M29/SUMIF($C$7:$C$34,C29,$M$7:$M$34))</x:f>
        <x:v>0.5617977528089888</x:v>
      </x:c>
      <x:c r="O29" s="102" t="str"/>
    </x:row>
    <x:row r="30" ht="21" customHeight="1">
      <x:c r="A30" s="98" t="n">
        <x:v>24</x:v>
      </x:c>
      <x:c r="B30" s="99" t="str">
        <x:v>사회·문화</x:v>
      </x:c>
      <x:c r="C30" s="99" t="str">
        <x:v>일·가정 양립 여건</x:v>
      </x:c>
      <x:c r="D30" s="99" t="str">
        <x:v>가족친화인증기업 비율</x:v>
      </x:c>
      <x:c r="E30" s="98" t="str">
        <x:v>FCR</x:v>
      </x:c>
      <x:c r="F30" s="98" t="str">
        <x:v>+</x:v>
      </x:c>
      <x:c r="G30" s="98" t="str">
        <x:v>유지</x:v>
      </x:c>
      <x:c r="H30" s="100" t="n">
        <x:v>0.039</x:v>
      </x:c>
      <x:c r="I30" s="100" t="n">
        <x:f>SUMIF($C$7:$C$34,C30,$H$7:$H$34)+SUMIF($H$49:$H$51,C30,$J$49:$J$51)</x:f>
        <x:v>0.119</x:v>
      </x:c>
      <x:c r="J30" s="100" t="n">
        <x:f>SUMIF($H$49:$H$51,C30,$J$49:$J$51)</x:f>
        <x:v>0.03</x:v>
      </x:c>
      <x:c r="K30" s="100" t="n">
        <x:f>I30-J30</x:f>
        <x:v>0.089</x:v>
      </x:c>
      <x:c r="L30" s="100" t="n">
        <x:f>IF(K30=0,0,H30*I30/K30)</x:f>
        <x:v>0.05214606741573034</x:v>
      </x:c>
      <x:c r="M30" s="100" t="n">
        <x:f>IF($M$2=0,0,L30/$M$2)</x:f>
        <x:v>0.051783582339354844</x:v>
      </x:c>
      <x:c r="N30" s="101" t="n">
        <x:f>IF(SUMIF($C$7:$C$34,C30,$M$7:$M$34)=0,0,M30/SUMIF($C$7:$C$34,C30,$M$7:$M$34))</x:f>
        <x:v>0.43820224719101125</x:v>
      </x:c>
      <x:c r="O30" s="102" t="str"/>
    </x:row>
    <x:row r="31" ht="21" customHeight="1">
      <x:c r="A31" s="98" t="n">
        <x:v>25</x:v>
      </x:c>
      <x:c r="B31" s="99" t="str">
        <x:v>사회·문화</x:v>
      </x:c>
      <x:c r="C31" s="99" t="str">
        <x:v>사회적 가치관</x:v>
      </x:c>
      <x:c r="D31" s="99" t="str">
        <x:v>결혼에 대한 인식</x:v>
      </x:c>
      <x:c r="E31" s="98" t="str">
        <x:v>POM</x:v>
      </x:c>
      <x:c r="F31" s="98" t="str">
        <x:v>+</x:v>
      </x:c>
      <x:c r="G31" s="98" t="str">
        <x:v>유지</x:v>
      </x:c>
      <x:c r="H31" s="100" t="n">
        <x:v>0.029</x:v>
      </x:c>
      <x:c r="I31" s="100" t="n">
        <x:f>SUMIF($C$7:$C$34,C31,$H$7:$H$34)+SUMIF($H$49:$H$51,C31,$J$49:$J$51)</x:f>
        <x:v>0.11599999999999999</x:v>
      </x:c>
      <x:c r="J31" s="100" t="n">
        <x:f>SUMIF($H$49:$H$51,C31,$J$49:$J$51)</x:f>
        <x:v>0</x:v>
      </x:c>
      <x:c r="K31" s="100" t="n">
        <x:f>I31-J31</x:f>
        <x:v>0.11599999999999999</x:v>
      </x:c>
      <x:c r="L31" s="100" t="n">
        <x:f>IF(K31=0,0,H31*I31/K31)</x:f>
        <x:v>0.029</x:v>
      </x:c>
      <x:c r="M31" s="100" t="n">
        <x:f>IF($M$2=0,0,L31/$M$2)</x:f>
        <x:v>0.028798411122144978</x:v>
      </x:c>
      <x:c r="N31" s="101" t="n">
        <x:f>IF(SUMIF($C$7:$C$34,C31,$M$7:$M$34)=0,0,M31/SUMIF($C$7:$C$34,C31,$M$7:$M$34))</x:f>
        <x:v>0.25</x:v>
      </x:c>
      <x:c r="O31" s="102" t="str"/>
    </x:row>
    <x:row r="32" ht="21" customHeight="1">
      <x:c r="A32" s="98" t="n">
        <x:v>26</x:v>
      </x:c>
      <x:c r="B32" s="99" t="str">
        <x:v>사회·문화</x:v>
      </x:c>
      <x:c r="C32" s="99" t="str">
        <x:v>사회적 가치관</x:v>
      </x:c>
      <x:c r="D32" s="99" t="str">
        <x:v>출산에 대한 인식</x:v>
      </x:c>
      <x:c r="E32" s="98" t="str">
        <x:v>POC</x:v>
      </x:c>
      <x:c r="F32" s="98" t="str">
        <x:v>+</x:v>
      </x:c>
      <x:c r="G32" s="98" t="str">
        <x:v>유지</x:v>
      </x:c>
      <x:c r="H32" s="100" t="n">
        <x:v>0.037</x:v>
      </x:c>
      <x:c r="I32" s="100" t="n">
        <x:f>SUMIF($C$7:$C$34,C32,$H$7:$H$34)+SUMIF($H$49:$H$51,C32,$J$49:$J$51)</x:f>
        <x:v>0.11599999999999999</x:v>
      </x:c>
      <x:c r="J32" s="100" t="n">
        <x:f>SUMIF($H$49:$H$51,C32,$J$49:$J$51)</x:f>
        <x:v>0</x:v>
      </x:c>
      <x:c r="K32" s="100" t="n">
        <x:f>I32-J32</x:f>
        <x:v>0.11599999999999999</x:v>
      </x:c>
      <x:c r="L32" s="100" t="n">
        <x:f>IF(K32=0,0,H32*I32/K32)</x:f>
        <x:v>0.037</x:v>
      </x:c>
      <x:c r="M32" s="100" t="n">
        <x:f>IF($M$2=0,0,L32/$M$2)</x:f>
        <x:v>0.03674280039721945</x:v>
      </x:c>
      <x:c r="N32" s="101" t="n">
        <x:f>IF(SUMIF($C$7:$C$34,C32,$M$7:$M$34)=0,0,M32/SUMIF($C$7:$C$34,C32,$M$7:$M$34))</x:f>
        <x:v>0.3189655172413793</x:v>
      </x:c>
      <x:c r="O32" s="102" t="str"/>
    </x:row>
    <x:row r="33" ht="21" customHeight="1">
      <x:c r="A33" s="98" t="n">
        <x:v>27</x:v>
      </x:c>
      <x:c r="B33" s="99" t="str">
        <x:v>사회·문화</x:v>
      </x:c>
      <x:c r="C33" s="99" t="str">
        <x:v>사회적 가치관</x:v>
      </x:c>
      <x:c r="D33" s="99" t="str">
        <x:v>가사분담에 대한 성평등 인식</x:v>
      </x:c>
      <x:c r="E33" s="98" t="str">
        <x:v>GPEH</x:v>
      </x:c>
      <x:c r="F33" s="98" t="str">
        <x:v>+</x:v>
      </x:c>
      <x:c r="G33" s="98" t="str">
        <x:v>유지</x:v>
      </x:c>
      <x:c r="H33" s="100" t="n">
        <x:v>0.026</x:v>
      </x:c>
      <x:c r="I33" s="100" t="n">
        <x:f>SUMIF($C$7:$C$34,C33,$H$7:$H$34)+SUMIF($H$49:$H$51,C33,$J$49:$J$51)</x:f>
        <x:v>0.11599999999999999</x:v>
      </x:c>
      <x:c r="J33" s="100" t="n">
        <x:f>SUMIF($H$49:$H$51,C33,$J$49:$J$51)</x:f>
        <x:v>0</x:v>
      </x:c>
      <x:c r="K33" s="100" t="n">
        <x:f>I33-J33</x:f>
        <x:v>0.11599999999999999</x:v>
      </x:c>
      <x:c r="L33" s="100" t="n">
        <x:f>IF(K33=0,0,H33*I33/K33)</x:f>
        <x:v>0.026</x:v>
      </x:c>
      <x:c r="M33" s="100" t="n">
        <x:f>IF($M$2=0,0,L33/$M$2)</x:f>
        <x:v>0.025819265143992045</x:v>
      </x:c>
      <x:c r="N33" s="101" t="n">
        <x:f>IF(SUMIF($C$7:$C$34,C33,$M$7:$M$34)=0,0,M33/SUMIF($C$7:$C$34,C33,$M$7:$M$34))</x:f>
        <x:v>0.22413793103448273</x:v>
      </x:c>
      <x:c r="O33" s="102" t="str"/>
    </x:row>
    <x:row r="34" ht="21" customHeight="1">
      <x:c r="A34" s="98" t="n">
        <x:v>28</x:v>
      </x:c>
      <x:c r="B34" s="99" t="str">
        <x:v>사회·문화</x:v>
      </x:c>
      <x:c r="C34" s="99" t="str">
        <x:v>사회적 가치관</x:v>
      </x:c>
      <x:c r="D34" s="99" t="str">
        <x:v>사회경제적 지위에 대한 인식</x:v>
      </x:c>
      <x:c r="E34" s="98" t="str">
        <x:v>SESP</x:v>
      </x:c>
      <x:c r="F34" s="98" t="str">
        <x:v>+</x:v>
      </x:c>
      <x:c r="G34" s="98" t="str">
        <x:v>유지</x:v>
      </x:c>
      <x:c r="H34" s="100" t="n">
        <x:v>0.024</x:v>
      </x:c>
      <x:c r="I34" s="100" t="n">
        <x:f>SUMIF($C$7:$C$34,C34,$H$7:$H$34)+SUMIF($H$49:$H$51,C34,$J$49:$J$51)</x:f>
        <x:v>0.11599999999999999</x:v>
      </x:c>
      <x:c r="J34" s="100" t="n">
        <x:f>SUMIF($H$49:$H$51,C34,$J$49:$J$51)</x:f>
        <x:v>0</x:v>
      </x:c>
      <x:c r="K34" s="100" t="n">
        <x:f>I34-J34</x:f>
        <x:v>0.11599999999999999</x:v>
      </x:c>
      <x:c r="L34" s="100" t="n">
        <x:f>IF(K34=0,0,H34*I34/K34)</x:f>
        <x:v>0.024</x:v>
      </x:c>
      <x:c r="M34" s="100" t="n">
        <x:f>IF($M$2=0,0,L34/$M$2)</x:f>
        <x:v>0.02383316782522343</x:v>
      </x:c>
      <x:c r="N34" s="101" t="n">
        <x:f>IF(SUMIF($C$7:$C$34,C34,$M$7:$M$34)=0,0,M34/SUMIF($C$7:$C$34,C34,$M$7:$M$34))</x:f>
        <x:v>0.20689655172413793</x:v>
      </x:c>
      <x:c r="O34" s="102" t="str"/>
    </x:row>
    <x:row r="35">
      <x:c r="A35" s="103" t="str">
        <x:v>합계</x:v>
      </x:c>
      <x:c r="B35" s="103"/>
      <x:c r="C35" s="103"/>
      <x:c r="D35" s="103"/>
      <x:c r="E35" s="103"/>
      <x:c r="F35" s="103"/>
      <x:c r="G35" s="103"/>
      <x:c r="H35" s="104" t="n">
        <x:f>SUM(H7:H34)</x:f>
        <x:v>0.9340000000000004</x:v>
      </x:c>
      <x:c r="I35" s="104"/>
      <x:c r="J35" s="104"/>
      <x:c r="K35" s="104"/>
      <x:c r="L35" s="104" t="n">
        <x:f>SUM(L7:L34)</x:f>
        <x:v>1.0070000000000001</x:v>
      </x:c>
      <x:c r="M35" s="104" t="n">
        <x:f>SUM(M7:M34)</x:f>
        <x:v>0.9999999999999997</x:v>
      </x:c>
      <x:c r="N35" s="103"/>
      <x:c r="O35" s="103" t="str">
        <x:f>IF(ROUND(M35,8)=1,"정상","확인 필요")</x:f>
        <x:v>정상</x:v>
      </x:c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</x:row>
    <x:row r="38">
      <x:c r="A38" s="105" t="str">
        <x:v>세부영역별 조정 가중치 단순합</x:v>
      </x:c>
      <x:c r="B38" s="105"/>
      <x:c r="C38" s="105"/>
      <x:c r="D38" s="105"/>
      <x:c r="E38" s="105"/>
      <x:c r="F38" s="105"/>
      <x:c r="G38" s="86"/>
      <x:c r="H38" s="105" t="str">
        <x:v>대영역별 조정 가중치 합계</x:v>
      </x:c>
      <x:c r="I38" s="105"/>
      <x:c r="J38" s="105"/>
      <x:c r="K38" s="105"/>
      <x:c r="L38" s="86"/>
      <x:c r="M38" s="86"/>
      <x:c r="N38" s="86"/>
      <x:c r="O38" s="86"/>
    </x:row>
    <x:row r="39">
      <x:c r="A39" s="106" t="str">
        <x:v>세부영역</x:v>
      </x:c>
      <x:c r="B39" s="106" t="str">
        <x:v>대영역</x:v>
      </x:c>
      <x:c r="C39" s="106" t="str">
        <x:v>조정 가중치 합</x:v>
      </x:c>
      <x:c r="D39" s="106" t="str">
        <x:v>비중</x:v>
      </x:c>
      <x:c r="E39" s="106" t="str">
        <x:v>지표 수</x:v>
      </x:c>
      <x:c r="F39" s="106" t="str">
        <x:v>내부 비중 합</x:v>
      </x:c>
      <x:c r="G39" s="86"/>
      <x:c r="H39" s="106" t="str">
        <x:v>대영역</x:v>
      </x:c>
      <x:c r="I39" s="106" t="str">
        <x:v>조정 가중치 합</x:v>
      </x:c>
      <x:c r="J39" s="106" t="str">
        <x:v>비중</x:v>
      </x:c>
      <x:c r="K39" s="106" t="str">
        <x:v>지표 수</x:v>
      </x:c>
      <x:c r="L39" s="86"/>
      <x:c r="M39" s="86"/>
      <x:c r="N39" s="86"/>
      <x:c r="O39" s="86"/>
    </x:row>
    <x:row r="40" ht="23" customHeight="1">
      <x:c r="A40" s="107" t="str">
        <x:v>고용여건</x:v>
      </x:c>
      <x:c r="B40" s="107" t="str">
        <x:v>경제·고용·주거</x:v>
      </x:c>
      <x:c r="C40" s="108" t="n">
        <x:f>SUMIF($C$7:$C$34,A40,$M$7:$M$34)</x:f>
        <x:v>0.09632571996027803</x:v>
      </x:c>
      <x:c r="D40" s="108" t="n">
        <x:f>C40</x:f>
        <x:v>0.09632571996027803</x:v>
      </x:c>
      <x:c r="E40" s="107" t="n">
        <x:f>COUNTIF($C$7:$C$34,A40)</x:f>
        <x:v>3</x:v>
      </x:c>
      <x:c r="F40" s="109" t="n">
        <x:f>SUMIF($C$7:$C$34,A40,$N$7:$N$34)</x:f>
        <x:v>1</x:v>
      </x:c>
      <x:c r="G40" s="86"/>
      <x:c r="H40" s="107" t="str">
        <x:v>경제·고용·주거</x:v>
      </x:c>
      <x:c r="I40" s="108" t="n">
        <x:f>SUMIF($B$7:$B$34,H40,$M$7:$M$34)</x:f>
        <x:v>0.27706057596822237</x:v>
      </x:c>
      <x:c r="J40" s="108" t="n">
        <x:f>I40</x:f>
        <x:v>0.27706057596822237</x:v>
      </x:c>
      <x:c r="K40" s="107" t="n">
        <x:f>COUNTIF($B$7:$B$34,H40)</x:f>
        <x:v>8</x:v>
      </x:c>
      <x:c r="L40" s="86"/>
      <x:c r="M40" s="86"/>
      <x:c r="N40" s="86"/>
      <x:c r="O40" s="86"/>
    </x:row>
    <x:row r="41" ht="23" customHeight="1">
      <x:c r="A41" s="110" t="str">
        <x:v>주거 안정성</x:v>
      </x:c>
      <x:c r="B41" s="110" t="str">
        <x:v>경제·고용·주거</x:v>
      </x:c>
      <x:c r="C41" s="111" t="n">
        <x:f>SUMIF($C$7:$C$34,A41,$M$7:$M$34)</x:f>
        <x:v>0.07149950347567029</x:v>
      </x:c>
      <x:c r="D41" s="111" t="n">
        <x:f>C41</x:f>
        <x:v>0.07149950347567029</x:v>
      </x:c>
      <x:c r="E41" s="110" t="n">
        <x:f>COUNTIF($C$7:$C$34,A41)</x:f>
        <x:v>3</x:v>
      </x:c>
      <x:c r="F41" s="112" t="n">
        <x:f>SUMIF($C$7:$C$34,A41,$N$7:$N$34)</x:f>
        <x:v>1</x:v>
      </x:c>
      <x:c r="G41" s="86"/>
      <x:c r="H41" s="110" t="str">
        <x:v>가족·생활</x:v>
      </x:c>
      <x:c r="I41" s="111" t="n">
        <x:f>SUMIF($B$7:$B$34,H41,$M$7:$M$34)</x:f>
        <x:v>0.28798411122144973</x:v>
      </x:c>
      <x:c r="J41" s="111" t="n">
        <x:f>I41</x:f>
        <x:v>0.28798411122144973</x:v>
      </x:c>
      <x:c r="K41" s="110" t="n">
        <x:f>COUNTIF($B$7:$B$34,H41)</x:f>
        <x:v>8</x:v>
      </x:c>
      <x:c r="L41" s="86"/>
      <x:c r="M41" s="86"/>
      <x:c r="N41" s="86"/>
      <x:c r="O41" s="86"/>
    </x:row>
    <x:row r="42" ht="23" customHeight="1">
      <x:c r="A42" s="110" t="str">
        <x:v>경제적 여건</x:v>
      </x:c>
      <x:c r="B42" s="110" t="str">
        <x:v>경제·고용·주거</x:v>
      </x:c>
      <x:c r="C42" s="111" t="n">
        <x:f>SUMIF($C$7:$C$34,A42,$M$7:$M$34)</x:f>
        <x:v>0.10923535253227404</x:v>
      </x:c>
      <x:c r="D42" s="111" t="n">
        <x:f>C42</x:f>
        <x:v>0.10923535253227404</x:v>
      </x:c>
      <x:c r="E42" s="110" t="n">
        <x:f>COUNTIF($C$7:$C$34,A42)</x:f>
        <x:v>2</x:v>
      </x:c>
      <x:c r="F42" s="112" t="n">
        <x:f>SUMIF($C$7:$C$34,A42,$N$7:$N$34)</x:f>
        <x:v>1</x:v>
      </x:c>
      <x:c r="G42" s="86"/>
      <x:c r="H42" s="110" t="str">
        <x:v>보건·안전</x:v>
      </x:c>
      <x:c r="I42" s="111" t="n">
        <x:f>SUMIF($B$7:$B$34,H42,$M$7:$M$34)</x:f>
        <x:v>0.2015888778550148</x:v>
      </x:c>
      <x:c r="J42" s="111" t="n">
        <x:f>I42</x:f>
        <x:v>0.2015888778550148</x:v>
      </x:c>
      <x:c r="K42" s="110" t="n">
        <x:f>COUNTIF($B$7:$B$34,H42)</x:f>
        <x:v>6</x:v>
      </x:c>
      <x:c r="L42" s="86"/>
      <x:c r="M42" s="86"/>
      <x:c r="N42" s="86"/>
      <x:c r="O42" s="86"/>
    </x:row>
    <x:row r="43" ht="23" customHeight="1">
      <x:c r="A43" s="110" t="str">
        <x:v>돌봄여건</x:v>
      </x:c>
      <x:c r="B43" s="110" t="str">
        <x:v>가족·생활</x:v>
      </x:c>
      <x:c r="C43" s="111" t="n">
        <x:f>SUMIF($C$7:$C$34,A43,$M$7:$M$34)</x:f>
        <x:v>0.12214498510427006</x:v>
      </x:c>
      <x:c r="D43" s="111" t="n">
        <x:f>C43</x:f>
        <x:v>0.12214498510427006</x:v>
      </x:c>
      <x:c r="E43" s="110" t="n">
        <x:f>COUNTIF($C$7:$C$34,A43)</x:f>
        <x:v>3</x:v>
      </x:c>
      <x:c r="F43" s="112" t="n">
        <x:f>SUMIF($C$7:$C$34,A43,$N$7:$N$34)</x:f>
        <x:v>1</x:v>
      </x:c>
      <x:c r="G43" s="86"/>
      <x:c r="H43" s="113" t="str">
        <x:v>사회·문화</x:v>
      </x:c>
      <x:c r="I43" s="114" t="n">
        <x:f>SUMIF($B$7:$B$34,H43,$M$7:$M$34)</x:f>
        <x:v>0.23336643495531276</x:v>
      </x:c>
      <x:c r="J43" s="114" t="n">
        <x:f>I43</x:f>
        <x:v>0.23336643495531276</x:v>
      </x:c>
      <x:c r="K43" s="113" t="n">
        <x:f>COUNTIF($B$7:$B$34,H43)</x:f>
        <x:v>6</x:v>
      </x:c>
      <x:c r="L43" s="86"/>
      <x:c r="M43" s="86"/>
      <x:c r="N43" s="86"/>
      <x:c r="O43" s="86"/>
    </x:row>
    <x:row r="44" ht="23" customHeight="1">
      <x:c r="A44" s="110" t="str">
        <x:v>여가 인프라</x:v>
      </x:c>
      <x:c r="B44" s="110" t="str">
        <x:v>가족·생활</x:v>
      </x:c>
      <x:c r="C44" s="111" t="n">
        <x:f>SUMIF($C$7:$C$34,A44,$M$7:$M$34)</x:f>
        <x:v>0.1032770605759682</x:v>
      </x:c>
      <x:c r="D44" s="111" t="n">
        <x:f>C44</x:f>
        <x:v>0.1032770605759682</x:v>
      </x:c>
      <x:c r="E44" s="110" t="n">
        <x:f>COUNTIF($C$7:$C$34,A44)</x:f>
        <x:v>3</x:v>
      </x:c>
      <x:c r="F44" s="112" t="n">
        <x:f>SUMIF($C$7:$C$34,A44,$N$7:$N$34)</x:f>
        <x:v>1</x:v>
      </x:c>
      <x:c r="G44" s="86"/>
      <x:c r="H44" s="103" t="str">
        <x:v>전체</x:v>
      </x:c>
      <x:c r="I44" s="115" t="n">
        <x:f>SUM(I40:I43)</x:f>
        <x:v>0.9999999999999997</x:v>
      </x:c>
      <x:c r="J44" s="115" t="n">
        <x:f>SUM(J40:J43)</x:f>
        <x:v>0.9999999999999997</x:v>
      </x:c>
      <x:c r="K44" s="103" t="n">
        <x:f>SUM(K40:K43)</x:f>
        <x:v>28</x:v>
      </x:c>
      <x:c r="L44" s="86"/>
      <x:c r="M44" s="86"/>
      <x:c r="N44" s="86"/>
      <x:c r="O44" s="86"/>
    </x:row>
    <x:row r="45" ht="23" customHeight="1">
      <x:c r="A45" s="110" t="str">
        <x:v>가사수행 격차</x:v>
      </x:c>
      <x:c r="B45" s="110" t="str">
        <x:v>가족·생활</x:v>
      </x:c>
      <x:c r="C45" s="111" t="n">
        <x:f>SUMIF($C$7:$C$34,A45,$M$7:$M$34)</x:f>
        <x:v>0.06256206554121149</x:v>
      </x:c>
      <x:c r="D45" s="111" t="n">
        <x:f>C45</x:f>
        <x:v>0.06256206554121149</x:v>
      </x:c>
      <x:c r="E45" s="110" t="n">
        <x:f>COUNTIF($C$7:$C$34,A45)</x:f>
        <x:v>2</x:v>
      </x:c>
      <x:c r="F45" s="112" t="n">
        <x:f>SUMIF($C$7:$C$34,A45,$N$7:$N$34)</x:f>
        <x:v>1</x:v>
      </x:c>
      <x:c r="G45" s="86"/>
      <x:c r="H45" s="86"/>
      <x:c r="I45" s="86"/>
      <x:c r="J45" s="86"/>
      <x:c r="K45" s="86"/>
      <x:c r="L45" s="86"/>
      <x:c r="M45" s="86"/>
      <x:c r="N45" s="86"/>
      <x:c r="O45" s="86"/>
    </x:row>
    <x:row r="46" ht="23" customHeight="1">
      <x:c r="A46" s="110" t="str">
        <x:v>의료서비스 여건</x:v>
      </x:c>
      <x:c r="B46" s="110" t="str">
        <x:v>보건·안전</x:v>
      </x:c>
      <x:c r="C46" s="111" t="n">
        <x:f>SUMIF($C$7:$C$34,A46,$M$7:$M$34)</x:f>
        <x:v>0.07348560079443889</x:v>
      </x:c>
      <x:c r="D46" s="111" t="n">
        <x:f>C46</x:f>
        <x:v>0.07348560079443889</x:v>
      </x:c>
      <x:c r="E46" s="110" t="n">
        <x:f>COUNTIF($C$7:$C$34,A46)</x:f>
        <x:v>2</x:v>
      </x:c>
      <x:c r="F46" s="112" t="n">
        <x:f>SUMIF($C$7:$C$34,A46,$N$7:$N$34)</x:f>
        <x:v>1</x:v>
      </x:c>
      <x:c r="G46" s="86"/>
      <x:c r="H46" s="86"/>
      <x:c r="I46" s="86"/>
      <x:c r="J46" s="86"/>
      <x:c r="K46" s="86"/>
      <x:c r="L46" s="86"/>
      <x:c r="M46" s="86"/>
      <x:c r="N46" s="86"/>
      <x:c r="O46" s="86"/>
    </x:row>
    <x:row r="47" ht="23" customHeight="1">
      <x:c r="A47" s="110" t="str">
        <x:v>산후조리 여건</x:v>
      </x:c>
      <x:c r="B47" s="110" t="str">
        <x:v>보건·안전</x:v>
      </x:c>
      <x:c r="C47" s="111" t="n">
        <x:f>SUMIF($C$7:$C$34,A47,$M$7:$M$34)</x:f>
        <x:v>0.06256206554121149</x:v>
      </x:c>
      <x:c r="D47" s="111" t="n">
        <x:f>C47</x:f>
        <x:v>0.06256206554121149</x:v>
      </x:c>
      <x:c r="E47" s="110" t="n">
        <x:f>COUNTIF($C$7:$C$34,A47)</x:f>
        <x:v>2</x:v>
      </x:c>
      <x:c r="F47" s="112" t="n">
        <x:f>SUMIF($C$7:$C$34,A47,$N$7:$N$34)</x:f>
        <x:v>1</x:v>
      </x:c>
      <x:c r="G47" s="86"/>
      <x:c r="H47" s="105" t="str">
        <x:v>삭제 지표 원자료 및 근거</x:v>
      </x:c>
      <x:c r="I47" s="105"/>
      <x:c r="J47" s="105"/>
      <x:c r="K47" s="105"/>
      <x:c r="L47" s="86"/>
      <x:c r="M47" s="86"/>
      <x:c r="N47" s="86"/>
      <x:c r="O47" s="86"/>
    </x:row>
    <x:row r="48" ht="23" customHeight="1">
      <x:c r="A48" s="110" t="str">
        <x:v>아동안전 수준</x:v>
      </x:c>
      <x:c r="B48" s="110" t="str">
        <x:v>보건·안전</x:v>
      </x:c>
      <x:c r="C48" s="111" t="n">
        <x:f>SUMIF($C$7:$C$34,A48,$M$7:$M$34)</x:f>
        <x:v>0.06554121151936443</x:v>
      </x:c>
      <x:c r="D48" s="111" t="n">
        <x:f>C48</x:f>
        <x:v>0.06554121151936443</x:v>
      </x:c>
      <x:c r="E48" s="110" t="n">
        <x:f>COUNTIF($C$7:$C$34,A48)</x:f>
        <x:v>2</x:v>
      </x:c>
      <x:c r="F48" s="112" t="n">
        <x:f>SUMIF($C$7:$C$34,A48,$N$7:$N$34)</x:f>
        <x:v>1</x:v>
      </x:c>
      <x:c r="G48" s="86"/>
      <x:c r="H48" s="106" t="str">
        <x:v>세부영역</x:v>
      </x:c>
      <x:c r="I48" s="106" t="str">
        <x:v>삭제 지표</x:v>
      </x:c>
      <x:c r="J48" s="106" t="str">
        <x:v>원문 가중치</x:v>
      </x:c>
      <x:c r="K48" s="106" t="str">
        <x:v>제외 근거</x:v>
      </x:c>
      <x:c r="L48" s="86"/>
      <x:c r="M48" s="86"/>
      <x:c r="N48" s="86"/>
      <x:c r="O48" s="86"/>
    </x:row>
    <x:row r="49" ht="23" customHeight="1">
      <x:c r="A49" s="110" t="str">
        <x:v>일·가정 양립 여건</x:v>
      </x:c>
      <x:c r="B49" s="110" t="str">
        <x:v>사회·문화</x:v>
      </x:c>
      <x:c r="C49" s="111" t="n">
        <x:f>SUMIF($C$7:$C$34,A49,$M$7:$M$34)</x:f>
        <x:v>0.11817279046673285</x:v>
      </x:c>
      <x:c r="D49" s="111" t="n">
        <x:f>C49</x:f>
        <x:v>0.11817279046673285</x:v>
      </x:c>
      <x:c r="E49" s="110" t="n">
        <x:f>COUNTIF($C$7:$C$34,A49)</x:f>
        <x:v>2</x:v>
      </x:c>
      <x:c r="F49" s="112" t="n">
        <x:f>SUMIF($C$7:$C$34,A49,$N$7:$N$34)</x:f>
        <x:v>1</x:v>
      </x:c>
      <x:c r="G49" s="86"/>
      <x:c r="H49" s="116" t="str">
        <x:v>의료서비스 여건</x:v>
      </x:c>
      <x:c r="I49" s="116" t="str">
        <x:v>난임시술기관 보급도</x:v>
      </x:c>
      <x:c r="J49" s="117" t="n">
        <x:v>0.024</x:v>
      </x:c>
      <x:c r="K49" s="116" t="str">
        <x:v>전국·시계열 자료의 안정적 구축이 어려워 제외</x:v>
      </x:c>
      <x:c r="L49" s="86"/>
      <x:c r="M49" s="86"/>
      <x:c r="N49" s="86"/>
      <x:c r="O49" s="86"/>
    </x:row>
    <x:row r="50" ht="23" customHeight="1">
      <x:c r="A50" s="113" t="str">
        <x:v>사회적 가치관</x:v>
      </x:c>
      <x:c r="B50" s="113" t="str">
        <x:v>사회·문화</x:v>
      </x:c>
      <x:c r="C50" s="114" t="n">
        <x:f>SUMIF($C$7:$C$34,A50,$M$7:$M$34)</x:f>
        <x:v>0.11519364448857991</x:v>
      </x:c>
      <x:c r="D50" s="114" t="n">
        <x:f>C50</x:f>
        <x:v>0.11519364448857991</x:v>
      </x:c>
      <x:c r="E50" s="113" t="n">
        <x:f>COUNTIF($C$7:$C$34,A50)</x:f>
        <x:v>4</x:v>
      </x:c>
      <x:c r="F50" s="118" t="n">
        <x:f>SUMIF($C$7:$C$34,A50,$N$7:$N$34)</x:f>
        <x:v>0.9999999999999999</x:v>
      </x:c>
      <x:c r="G50" s="86"/>
      <x:c r="H50" s="119" t="str">
        <x:v>아동안전 수준</x:v>
      </x:c>
      <x:c r="I50" s="119" t="str">
        <x:v>학교폭력 발생률</x:v>
      </x:c>
      <x:c r="J50" s="120" t="n">
        <x:v>0.019</x:v>
      </x:c>
      <x:c r="K50" s="119" t="str">
        <x:v>전국·시계열 일관 자료 구축 한계로 제외</x:v>
      </x:c>
      <x:c r="L50" s="86"/>
      <x:c r="M50" s="86"/>
      <x:c r="N50" s="86"/>
      <x:c r="O50" s="86"/>
    </x:row>
    <x:row r="51" ht="23" customHeight="1">
      <x:c r="A51" s="103" t="str">
        <x:v>전체</x:v>
      </x:c>
      <x:c r="B51" s="103"/>
      <x:c r="C51" s="115" t="n">
        <x:f>SUM(C40:C50)</x:f>
        <x:v>0.9999999999999996</x:v>
      </x:c>
      <x:c r="D51" s="115" t="n">
        <x:f>SUM(D40:D50)</x:f>
        <x:v>0.9999999999999996</x:v>
      </x:c>
      <x:c r="E51" s="103" t="n">
        <x:f>SUM(E40:E50)</x:f>
        <x:v>28</x:v>
      </x:c>
      <x:c r="F51" s="103"/>
      <x:c r="G51" s="86"/>
      <x:c r="H51" s="121" t="str">
        <x:v>일·가정 양립 여건</x:v>
      </x:c>
      <x:c r="I51" s="121" t="str">
        <x:v>저출생 대응 예산액</x:v>
      </x:c>
      <x:c r="J51" s="122" t="n">
        <x:v>0.03</x:v>
      </x:c>
      <x:c r="K51" s="121" t="str">
        <x:v>재정대응지수와 중복되어 순환 문제를 피하기 위해 제외</x:v>
      </x:c>
      <x:c r="L51" s="86"/>
      <x:c r="M51" s="86"/>
      <x:c r="N51" s="86"/>
      <x:c r="O51" s="86"/>
    </x:row>
  </x:sheetData>
  <x:mergeCells>
    <x:mergeCell ref="A1:O1"/>
    <x:mergeCell ref="A2:J2"/>
    <x:mergeCell ref="A3:J3"/>
    <x:mergeCell ref="A4:J4"/>
    <x:mergeCell ref="A38:F38"/>
    <x:mergeCell ref="H38:K38"/>
    <x:mergeCell ref="H47:K47"/>
  </x:mergeCells>
  <x:conditionalFormatting sqref="O4:O4">
    <x:cfRule type="containsText" dxfId="8" priority="1" operator="containsText" text="통과"/>
    <x:cfRule type="containsText" dxfId="9" priority="2" operator="containsText" text="확인 필요"/>
  </x:conditionalFormatting>
  <x:conditionalFormatting sqref="G7:G34">
    <x:cfRule type="containsText" dxfId="10" priority="3" operator="containsText" text="대체"/>
  </x:conditionalFormatting>
  <x:conditionalFormatting sqref="F7:F34">
    <x:cfRule type="containsText" dxfId="11" priority="4" operator="containsText" text="-"/>
  </x:conditionalFormatting>
  <x:conditionalFormatting sqref="M7:M34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{7B7C78E7-763F-425D-CF1A-A8C6C32CB691}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c4373268ce347d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7B7C78E7-763F-425D-CF1A-A8C6C32CB691}">
            <x14:dataBar gradient="1">
              <x14:cfvo type="min"/>
              <x14:cfvo type="max"/>
              <x14:fillColor rgb="FF5B9BD5"/>
            </x14:dataBar>
          </x14:cfRule>
          <xm:sqref>M7:M34</xm:sqref>
        </x14:conditionalFormatting>
      </x14:conditionalFormattings>
    </x:ext>
  </x:extLst>
</x:worksheet>
</file>